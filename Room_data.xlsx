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uangw2\Desktop\工作\楼书及资产数据表整理-20240104T074958Z-001\楼书及资产数据表整理\"/>
    </mc:Choice>
  </mc:AlternateContent>
  <bookViews>
    <workbookView xWindow="0" yWindow="0" windowWidth="28800" windowHeight="12216" activeTab="10"/>
  </bookViews>
  <sheets>
    <sheet name="211" sheetId="1" r:id="rId1"/>
    <sheet name="113" sheetId="4" r:id="rId2"/>
    <sheet name="121" sheetId="3" r:id="rId3"/>
    <sheet name="231" sheetId="5" r:id="rId4"/>
    <sheet name="232" sheetId="6" r:id="rId5"/>
    <sheet name="134" sheetId="7" r:id="rId6"/>
    <sheet name="132" sheetId="8" r:id="rId7"/>
    <sheet name="111" sheetId="10" r:id="rId8"/>
    <sheet name="234" sheetId="9" r:id="rId9"/>
    <sheet name="131" sheetId="12" r:id="rId10"/>
    <sheet name="panda" sheetId="13" r:id="rId11"/>
    <sheet name="Notes" sheetId="11" r:id="rId12"/>
  </sheets>
  <definedNames>
    <definedName name="_xlnm._FilterDatabase" localSheetId="2" hidden="1">'121'!$I$1:$I$134</definedName>
    <definedName name="_xlnm._FilterDatabase" localSheetId="0" hidden="1">'211'!$I$1:$I$190</definedName>
    <definedName name="_xlnm.Print_Area" localSheetId="2">'121'!$B$1:$P$159</definedName>
    <definedName name="_xlnm.Print_Area" localSheetId="0">'211'!$B$1:$T$212</definedName>
  </definedNames>
  <calcPr calcId="162913"/>
</workbook>
</file>

<file path=xl/calcChain.xml><?xml version="1.0" encoding="utf-8"?>
<calcChain xmlns="http://schemas.openxmlformats.org/spreadsheetml/2006/main">
  <c r="O3" i="13" l="1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H1" i="13"/>
  <c r="E42" i="12" l="1"/>
  <c r="E63" i="12"/>
  <c r="O3" i="12" l="1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H1" i="12"/>
  <c r="C2" i="5" l="1"/>
  <c r="M2" i="4" l="1"/>
  <c r="O3" i="9" l="1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H1" i="9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H1" i="10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H1" i="8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H1" i="7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H1" i="6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O2" i="5"/>
  <c r="N2" i="5"/>
  <c r="M2" i="5"/>
  <c r="L2" i="5"/>
  <c r="K2" i="5"/>
  <c r="J2" i="5"/>
  <c r="I2" i="5"/>
  <c r="H2" i="5"/>
  <c r="G2" i="5"/>
  <c r="F2" i="5"/>
  <c r="E2" i="5"/>
  <c r="D2" i="5"/>
  <c r="B2" i="5"/>
  <c r="A2" i="5"/>
  <c r="H1" i="5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H1" i="3"/>
  <c r="H1" i="4"/>
  <c r="B2" i="4"/>
  <c r="C2" i="4"/>
  <c r="D2" i="4"/>
  <c r="E2" i="4"/>
  <c r="F2" i="4"/>
  <c r="G2" i="4"/>
  <c r="H2" i="4"/>
  <c r="I2" i="4"/>
  <c r="J2" i="4"/>
  <c r="K2" i="4"/>
  <c r="L2" i="4"/>
  <c r="N2" i="4"/>
  <c r="O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A2" i="4"/>
  <c r="A3" i="4"/>
</calcChain>
</file>

<file path=xl/sharedStrings.xml><?xml version="1.0" encoding="utf-8"?>
<sst xmlns="http://schemas.openxmlformats.org/spreadsheetml/2006/main" count="4796" uniqueCount="1474">
  <si>
    <t>Room-number</t>
    <phoneticPr fontId="11" type="noConversion"/>
  </si>
  <si>
    <t>房间号</t>
    <phoneticPr fontId="11" type="noConversion"/>
  </si>
  <si>
    <t>ROOM NAME</t>
    <phoneticPr fontId="11" type="noConversion"/>
  </si>
  <si>
    <t>房间名称</t>
    <phoneticPr fontId="11" type="noConversion"/>
  </si>
  <si>
    <t>FLOOR</t>
    <phoneticPr fontId="11" type="noConversion"/>
  </si>
  <si>
    <t>地面做法</t>
    <phoneticPr fontId="11" type="noConversion"/>
  </si>
  <si>
    <t>WALL</t>
    <phoneticPr fontId="11" type="noConversion"/>
  </si>
  <si>
    <t>CEILING HEIGHT</t>
    <phoneticPr fontId="11" type="noConversion"/>
  </si>
  <si>
    <t>吊顶高度</t>
    <phoneticPr fontId="11" type="noConversion"/>
  </si>
  <si>
    <t>SKIRTING FINISH</t>
    <phoneticPr fontId="11" type="noConversion"/>
  </si>
  <si>
    <t>踢脚作法</t>
    <phoneticPr fontId="11" type="noConversion"/>
  </si>
  <si>
    <t>NOTE NO.</t>
    <phoneticPr fontId="11" type="noConversion"/>
  </si>
  <si>
    <t>备注索引</t>
    <phoneticPr fontId="11" type="noConversion"/>
  </si>
  <si>
    <r>
      <t xml:space="preserve">B1F </t>
    </r>
    <r>
      <rPr>
        <sz val="10"/>
        <color rgb="FF000000"/>
        <rFont val="宋体"/>
        <family val="3"/>
        <charset val="134"/>
      </rPr>
      <t>地下室</t>
    </r>
    <phoneticPr fontId="11" type="noConversion"/>
  </si>
  <si>
    <t>002B</t>
    <phoneticPr fontId="11" type="noConversion"/>
  </si>
  <si>
    <t>002A</t>
    <phoneticPr fontId="11" type="noConversion"/>
  </si>
  <si>
    <t>003</t>
    <phoneticPr fontId="11" type="noConversion"/>
  </si>
  <si>
    <t>005</t>
    <phoneticPr fontId="11" type="noConversion"/>
  </si>
  <si>
    <t>001</t>
    <phoneticPr fontId="11" type="noConversion"/>
  </si>
  <si>
    <t>006</t>
    <phoneticPr fontId="11" type="noConversion"/>
  </si>
  <si>
    <t>007</t>
    <phoneticPr fontId="11" type="noConversion"/>
  </si>
  <si>
    <t>008</t>
    <phoneticPr fontId="11" type="noConversion"/>
  </si>
  <si>
    <t>009</t>
    <phoneticPr fontId="11" type="noConversion"/>
  </si>
  <si>
    <t>010</t>
    <phoneticPr fontId="11" type="noConversion"/>
  </si>
  <si>
    <r>
      <t>1#STAIRCASE 1#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</si>
  <si>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HOT WATER RM 热水间</t>
    <phoneticPr fontId="11" type="noConversion"/>
  </si>
  <si>
    <r>
      <t>MECHANIC RM</t>
    </r>
    <r>
      <rPr>
        <sz val="10"/>
        <color rgb="FF000000"/>
        <rFont val="宋体"/>
        <family val="3"/>
        <charset val="134"/>
      </rPr>
      <t>设备间</t>
    </r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</si>
  <si>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</si>
  <si>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r>
      <t>BREAK RM</t>
    </r>
    <r>
      <rPr>
        <sz val="10"/>
        <color rgb="FF000000"/>
        <rFont val="宋体"/>
        <family val="3"/>
        <charset val="134"/>
      </rPr>
      <t>员工休息室</t>
    </r>
    <phoneticPr fontId="11" type="noConversion"/>
  </si>
  <si>
    <r>
      <t>WOMEN CHANGING RM</t>
    </r>
    <r>
      <rPr>
        <sz val="10"/>
        <color rgb="FF000000"/>
        <rFont val="宋体"/>
        <family val="3"/>
        <charset val="134"/>
      </rPr>
      <t>女更衣室</t>
    </r>
    <phoneticPr fontId="11" type="noConversion"/>
  </si>
  <si>
    <r>
      <t xml:space="preserve">MEN CHANGING RM </t>
    </r>
    <r>
      <rPr>
        <sz val="10"/>
        <color rgb="FF000000"/>
        <rFont val="宋体"/>
        <family val="3"/>
        <charset val="134"/>
      </rPr>
      <t>男更衣室</t>
    </r>
    <phoneticPr fontId="11" type="noConversion"/>
  </si>
  <si>
    <r>
      <t>STORAGE RM</t>
    </r>
    <r>
      <rPr>
        <sz val="10"/>
        <color rgb="FF000000"/>
        <rFont val="宋体"/>
        <family val="3"/>
        <charset val="134"/>
      </rPr>
      <t>一次性用品仓库</t>
    </r>
    <phoneticPr fontId="11" type="noConversion"/>
  </si>
  <si>
    <r>
      <t>DESMOKE RM 2</t>
    </r>
    <r>
      <rPr>
        <sz val="10"/>
        <color rgb="FF000000"/>
        <rFont val="宋体"/>
        <family val="3"/>
        <charset val="134"/>
      </rPr>
      <t>排烟机房</t>
    </r>
    <r>
      <rPr>
        <sz val="10"/>
        <color rgb="FF000000"/>
        <rFont val="Imago"/>
      </rPr>
      <t>2</t>
    </r>
    <phoneticPr fontId="11" type="noConversion"/>
  </si>
  <si>
    <r>
      <t>2#STAIRCASE 2#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</si>
  <si>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楼层</t>
    <phoneticPr fontId="11" type="noConversion"/>
  </si>
  <si>
    <t>BUILDING FLOOR</t>
    <phoneticPr fontId="11" type="noConversion"/>
  </si>
  <si>
    <t>011</t>
    <phoneticPr fontId="11" type="noConversion"/>
  </si>
  <si>
    <t>012</t>
    <phoneticPr fontId="11" type="noConversion"/>
  </si>
  <si>
    <t xml:space="preserve">N/A </t>
    <phoneticPr fontId="11" type="noConversion"/>
  </si>
  <si>
    <t>贴梁底</t>
    <phoneticPr fontId="11" type="noConversion"/>
  </si>
  <si>
    <t>CEILING</t>
    <phoneticPr fontId="11" type="noConversion"/>
  </si>
  <si>
    <t>吊顶做法</t>
    <phoneticPr fontId="11" type="noConversion"/>
  </si>
  <si>
    <r>
      <t xml:space="preserve">3F </t>
    </r>
    <r>
      <rPr>
        <sz val="10"/>
        <color rgb="FF000000"/>
        <rFont val="宋体"/>
        <family val="3"/>
        <charset val="134"/>
      </rPr>
      <t>三层</t>
    </r>
    <phoneticPr fontId="11" type="noConversion"/>
  </si>
  <si>
    <t>315</t>
    <phoneticPr fontId="11" type="noConversion"/>
  </si>
  <si>
    <t>313</t>
    <phoneticPr fontId="11" type="noConversion"/>
  </si>
  <si>
    <t>312</t>
    <phoneticPr fontId="11" type="noConversion"/>
  </si>
  <si>
    <r>
      <t>MOTHER'S ROOM</t>
    </r>
    <r>
      <rPr>
        <sz val="10"/>
        <color rgb="FF000000"/>
        <rFont val="宋体"/>
        <family val="3"/>
        <charset val="134"/>
      </rPr>
      <t>母婴室</t>
    </r>
    <phoneticPr fontId="11" type="noConversion"/>
  </si>
  <si>
    <r>
      <t>WOMEN TOILET</t>
    </r>
    <r>
      <rPr>
        <sz val="10"/>
        <color rgb="FF000000"/>
        <rFont val="宋体"/>
        <family val="3"/>
        <charset val="134"/>
      </rPr>
      <t>女卫</t>
    </r>
    <phoneticPr fontId="11" type="noConversion"/>
  </si>
  <si>
    <r>
      <t>6P MEETING 6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</si>
  <si>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r>
      <t>Printer Room</t>
    </r>
    <r>
      <rPr>
        <sz val="10"/>
        <color rgb="FF000000"/>
        <rFont val="宋体"/>
        <family val="3"/>
        <charset val="134"/>
      </rPr>
      <t>打印室</t>
    </r>
    <phoneticPr fontId="11" type="noConversion"/>
  </si>
  <si>
    <r>
      <t>F11a</t>
    </r>
    <r>
      <rPr>
        <sz val="10"/>
        <color rgb="FF000000"/>
        <rFont val="宋体"/>
        <family val="3"/>
        <charset val="134"/>
      </rPr>
      <t>耐化学品、耐压、耐磨环氧自流平地面</t>
    </r>
    <phoneticPr fontId="11" type="noConversion"/>
  </si>
  <si>
    <r>
      <t>F3</t>
    </r>
    <r>
      <rPr>
        <sz val="10"/>
        <color rgb="FF000000"/>
        <rFont val="宋体"/>
        <family val="3"/>
        <charset val="134"/>
      </rPr>
      <t>乙烯基地面</t>
    </r>
    <phoneticPr fontId="11" type="noConversion"/>
  </si>
  <si>
    <r>
      <t>F3</t>
    </r>
    <r>
      <rPr>
        <sz val="10"/>
        <color rgb="FF000000"/>
        <rFont val="宋体"/>
        <family val="3"/>
        <charset val="134"/>
      </rPr>
      <t>乙烯基地面</t>
    </r>
    <phoneticPr fontId="11" type="noConversion"/>
  </si>
  <si>
    <t>F2b硬化剂地坪</t>
    <phoneticPr fontId="11" type="noConversion"/>
  </si>
  <si>
    <t>F2b硬化剂地坪</t>
    <phoneticPr fontId="11" type="noConversion"/>
  </si>
  <si>
    <r>
      <t>F2b</t>
    </r>
    <r>
      <rPr>
        <sz val="10"/>
        <color rgb="FF000000"/>
        <rFont val="宋体"/>
        <family val="3"/>
        <charset val="134"/>
      </rPr>
      <t>硬化剂地坪</t>
    </r>
    <phoneticPr fontId="11" type="noConversion"/>
  </si>
  <si>
    <t>F10环氧涂层地面</t>
    <phoneticPr fontId="11" type="noConversion"/>
  </si>
  <si>
    <r>
      <t>F10</t>
    </r>
    <r>
      <rPr>
        <sz val="10"/>
        <color rgb="FF000000"/>
        <rFont val="宋体"/>
        <family val="3"/>
        <charset val="134"/>
      </rPr>
      <t>环氧涂层地面</t>
    </r>
    <phoneticPr fontId="11" type="noConversion"/>
  </si>
  <si>
    <r>
      <t>F1a</t>
    </r>
    <r>
      <rPr>
        <sz val="10"/>
        <color rgb="FF000000"/>
        <rFont val="宋体"/>
        <family val="3"/>
        <charset val="134"/>
      </rPr>
      <t>防滑陶瓷地砖</t>
    </r>
    <r>
      <rPr>
        <sz val="10"/>
        <color rgb="FF000000"/>
        <rFont val="Imago"/>
      </rPr>
      <t xml:space="preserve"> (</t>
    </r>
    <r>
      <rPr>
        <sz val="10"/>
        <color rgb="FF000000"/>
        <rFont val="宋体"/>
        <family val="3"/>
        <charset val="134"/>
      </rPr>
      <t>有防水层）</t>
    </r>
    <phoneticPr fontId="11" type="noConversion"/>
  </si>
  <si>
    <r>
      <t>F5</t>
    </r>
    <r>
      <rPr>
        <sz val="10"/>
        <color rgb="FF000000"/>
        <rFont val="宋体"/>
        <family val="3"/>
        <charset val="134"/>
      </rPr>
      <t>耐磨拼合地毯</t>
    </r>
    <phoneticPr fontId="11" type="noConversion"/>
  </si>
  <si>
    <r>
      <t>W1b</t>
    </r>
    <r>
      <rPr>
        <sz val="10"/>
        <color rgb="FF000000"/>
        <rFont val="宋体"/>
        <family val="3"/>
        <charset val="134"/>
      </rPr>
      <t>丙烯酸乳胶漆涂料墙面</t>
    </r>
    <r>
      <rPr>
        <sz val="10"/>
        <color rgb="FF000000"/>
        <rFont val="Imago"/>
      </rPr>
      <t>(</t>
    </r>
    <r>
      <rPr>
        <sz val="10"/>
        <color rgb="FF000000"/>
        <rFont val="宋体"/>
        <family val="3"/>
        <charset val="134"/>
      </rPr>
      <t>轻质隔墙</t>
    </r>
    <r>
      <rPr>
        <sz val="10"/>
        <color rgb="FF000000"/>
        <rFont val="Imago"/>
      </rPr>
      <t>)</t>
    </r>
    <phoneticPr fontId="11" type="noConversion"/>
  </si>
  <si>
    <r>
      <t>W2</t>
    </r>
    <r>
      <rPr>
        <sz val="10"/>
        <color rgb="FF000000"/>
        <rFont val="宋体"/>
        <family val="3"/>
        <charset val="134"/>
      </rPr>
      <t>瓷砖墙面</t>
    </r>
    <phoneticPr fontId="11" type="noConversion"/>
  </si>
  <si>
    <r>
      <t>C3</t>
    </r>
    <r>
      <rPr>
        <sz val="10"/>
        <color rgb="FF000000"/>
        <rFont val="宋体"/>
        <family val="3"/>
        <charset val="134"/>
      </rPr>
      <t>丙烯酸乳胶漆涂料</t>
    </r>
    <phoneticPr fontId="11" type="noConversion"/>
  </si>
  <si>
    <r>
      <t>C1</t>
    </r>
    <r>
      <rPr>
        <sz val="10"/>
        <color rgb="FF000000"/>
        <rFont val="宋体"/>
        <family val="3"/>
        <charset val="134"/>
      </rPr>
      <t>轻钢龙骨吸音板吊顶</t>
    </r>
    <phoneticPr fontId="11" type="noConversion"/>
  </si>
  <si>
    <r>
      <t xml:space="preserve">C2c </t>
    </r>
    <r>
      <rPr>
        <sz val="10"/>
        <color rgb="FF000000"/>
        <rFont val="宋体"/>
        <family val="3"/>
        <charset val="134"/>
      </rPr>
      <t>防火石膏板吊顶</t>
    </r>
    <phoneticPr fontId="11" type="noConversion"/>
  </si>
  <si>
    <r>
      <t>C2b</t>
    </r>
    <r>
      <rPr>
        <sz val="10"/>
        <color rgb="FF000000"/>
        <rFont val="宋体"/>
        <family val="3"/>
        <charset val="134"/>
      </rPr>
      <t>防水石膏板吊顶</t>
    </r>
    <phoneticPr fontId="11" type="noConversion"/>
  </si>
  <si>
    <r>
      <t>C5</t>
    </r>
    <r>
      <rPr>
        <sz val="10"/>
        <color rgb="FF000000"/>
        <rFont val="宋体"/>
        <family val="3"/>
        <charset val="134"/>
      </rPr>
      <t>穿孔金属吸音吊顶</t>
    </r>
    <phoneticPr fontId="11" type="noConversion"/>
  </si>
  <si>
    <r>
      <t>S1</t>
    </r>
    <r>
      <rPr>
        <sz val="11"/>
        <color rgb="FF000000"/>
        <rFont val="宋体"/>
        <family val="3"/>
        <charset val="134"/>
      </rPr>
      <t>环氧踢脚</t>
    </r>
    <phoneticPr fontId="11" type="noConversion"/>
  </si>
  <si>
    <r>
      <t>S3</t>
    </r>
    <r>
      <rPr>
        <sz val="11"/>
        <color rgb="FF000000"/>
        <rFont val="宋体"/>
        <family val="3"/>
        <charset val="134"/>
      </rPr>
      <t>水泥砂浆踢脚</t>
    </r>
    <phoneticPr fontId="11" type="noConversion"/>
  </si>
  <si>
    <r>
      <t>S5</t>
    </r>
    <r>
      <rPr>
        <sz val="11"/>
        <color rgb="FF000000"/>
        <rFont val="宋体"/>
        <family val="3"/>
        <charset val="134"/>
      </rPr>
      <t>乙烯基踢脚</t>
    </r>
    <r>
      <rPr>
        <sz val="11"/>
        <color rgb="FF000000"/>
        <rFont val="Imago"/>
      </rPr>
      <t>,2.5</t>
    </r>
    <r>
      <rPr>
        <sz val="11"/>
        <color rgb="FF000000"/>
        <rFont val="宋体"/>
        <family val="3"/>
        <charset val="134"/>
      </rPr>
      <t>毫米厚</t>
    </r>
    <phoneticPr fontId="11" type="noConversion"/>
  </si>
  <si>
    <r>
      <t>S2</t>
    </r>
    <r>
      <rPr>
        <sz val="11"/>
        <color rgb="FF000000"/>
        <rFont val="宋体"/>
        <family val="3"/>
        <charset val="134"/>
      </rPr>
      <t>拉丝不锈钢踢脚</t>
    </r>
    <phoneticPr fontId="11" type="noConversion"/>
  </si>
  <si>
    <r>
      <t>W1a</t>
    </r>
    <r>
      <rPr>
        <sz val="10"/>
        <color rgb="FF000000"/>
        <rFont val="宋体"/>
        <family val="3"/>
        <charset val="134"/>
      </rPr>
      <t>丙烯酸乳胶漆涂料墙面</t>
    </r>
    <r>
      <rPr>
        <sz val="10"/>
        <color rgb="FF000000"/>
        <rFont val="Imago"/>
      </rPr>
      <t>(</t>
    </r>
    <r>
      <rPr>
        <sz val="10"/>
        <color rgb="FF000000"/>
        <rFont val="宋体"/>
        <family val="3"/>
        <charset val="134"/>
      </rPr>
      <t>实体墙</t>
    </r>
    <r>
      <rPr>
        <sz val="10"/>
        <color rgb="FF000000"/>
        <rFont val="Imago"/>
      </rPr>
      <t>)</t>
    </r>
    <phoneticPr fontId="11" type="noConversion"/>
  </si>
  <si>
    <r>
      <t>W1b/W3b</t>
    </r>
    <r>
      <rPr>
        <sz val="10"/>
        <color rgb="FF000000"/>
        <rFont val="宋体"/>
        <family val="3"/>
        <charset val="134"/>
      </rPr>
      <t>丙烯酸乳胶漆涂料墙面</t>
    </r>
    <r>
      <rPr>
        <sz val="10"/>
        <color rgb="FF000000"/>
        <rFont val="Imago"/>
      </rPr>
      <t>(</t>
    </r>
    <r>
      <rPr>
        <sz val="10"/>
        <color rgb="FF000000"/>
        <rFont val="宋体"/>
        <family val="3"/>
        <charset val="134"/>
      </rPr>
      <t>轻质隔墙</t>
    </r>
    <r>
      <rPr>
        <sz val="10"/>
        <color rgb="FF000000"/>
        <rFont val="Imago"/>
      </rPr>
      <t>)9M2/</t>
    </r>
    <r>
      <rPr>
        <sz val="10"/>
        <color rgb="FF000000"/>
        <rFont val="宋体"/>
        <family val="3"/>
        <charset val="134"/>
      </rPr>
      <t>无框玻璃隔断</t>
    </r>
    <r>
      <rPr>
        <sz val="10"/>
        <color rgb="FF000000"/>
        <rFont val="Imago"/>
      </rPr>
      <t>35.3M2</t>
    </r>
    <phoneticPr fontId="11" type="noConversion"/>
  </si>
  <si>
    <r>
      <t xml:space="preserve">1F </t>
    </r>
    <r>
      <rPr>
        <sz val="10"/>
        <color rgb="FF000000"/>
        <rFont val="宋体"/>
        <family val="3"/>
        <charset val="134"/>
      </rPr>
      <t>一层</t>
    </r>
    <phoneticPr fontId="11" type="noConversion"/>
  </si>
  <si>
    <t>消防</t>
    <phoneticPr fontId="11" type="noConversion"/>
  </si>
  <si>
    <t>暖通</t>
    <phoneticPr fontId="11" type="noConversion"/>
  </si>
  <si>
    <t>N/A</t>
    <phoneticPr fontId="11" type="noConversion"/>
  </si>
  <si>
    <r>
      <t>BUILDIN</t>
    </r>
    <r>
      <rPr>
        <sz val="11"/>
        <color rgb="FF000000"/>
        <rFont val="SimSun"/>
        <charset val="134"/>
      </rPr>
      <t xml:space="preserve"> NO.</t>
    </r>
    <phoneticPr fontId="11" type="noConversion"/>
  </si>
  <si>
    <t>楼号</t>
    <phoneticPr fontId="11" type="noConversion"/>
  </si>
  <si>
    <t>窗</t>
    <phoneticPr fontId="11" type="noConversion"/>
  </si>
  <si>
    <t>门</t>
    <phoneticPr fontId="11" type="noConversion"/>
  </si>
  <si>
    <t>Door</t>
    <phoneticPr fontId="11" type="noConversion"/>
  </si>
  <si>
    <t>012A</t>
    <phoneticPr fontId="11" type="noConversion"/>
  </si>
  <si>
    <t>F1a</t>
    <phoneticPr fontId="11" type="noConversion"/>
  </si>
  <si>
    <r>
      <t>C2b</t>
    </r>
    <r>
      <rPr>
        <sz val="10"/>
        <color rgb="FF000000"/>
        <rFont val="宋体"/>
        <family val="3"/>
        <charset val="134"/>
      </rPr>
      <t>防水石膏板吊顶</t>
    </r>
    <phoneticPr fontId="11" type="noConversion"/>
  </si>
  <si>
    <t>013</t>
    <phoneticPr fontId="11" type="noConversion"/>
  </si>
  <si>
    <t>WOMEN SHOWER女淋浴</t>
    <phoneticPr fontId="11" type="noConversion"/>
  </si>
  <si>
    <r>
      <t>MEN TOILET</t>
    </r>
    <r>
      <rPr>
        <sz val="10"/>
        <color rgb="FF000000"/>
        <rFont val="宋体"/>
        <family val="3"/>
        <charset val="134"/>
      </rPr>
      <t>男卫生间</t>
    </r>
    <phoneticPr fontId="11" type="noConversion"/>
  </si>
  <si>
    <r>
      <t>MEN SHOWER</t>
    </r>
    <r>
      <rPr>
        <sz val="10"/>
        <color rgb="FF000000"/>
        <rFont val="宋体"/>
        <family val="3"/>
        <charset val="134"/>
      </rPr>
      <t>男淋浴</t>
    </r>
    <phoneticPr fontId="11" type="noConversion"/>
  </si>
  <si>
    <t>013A</t>
    <phoneticPr fontId="11" type="noConversion"/>
  </si>
  <si>
    <t>F9</t>
    <phoneticPr fontId="11" type="noConversion"/>
  </si>
  <si>
    <t>015</t>
    <phoneticPr fontId="11" type="noConversion"/>
  </si>
  <si>
    <r>
      <t>FIRE FIGHTING POND 1</t>
    </r>
    <r>
      <rPr>
        <sz val="10"/>
        <color rgb="FF000000"/>
        <rFont val="宋体"/>
        <family val="3"/>
        <charset val="134"/>
      </rPr>
      <t>消防水池</t>
    </r>
    <r>
      <rPr>
        <sz val="10"/>
        <color rgb="FF000000"/>
        <rFont val="Imago"/>
      </rPr>
      <t>1</t>
    </r>
    <phoneticPr fontId="11" type="noConversion"/>
  </si>
  <si>
    <t>FIRE FIGHTING</t>
    <phoneticPr fontId="11" type="noConversion"/>
  </si>
  <si>
    <r>
      <t>FIRE FIGHTING POND 2</t>
    </r>
    <r>
      <rPr>
        <sz val="10"/>
        <color rgb="FF000000"/>
        <rFont val="宋体"/>
        <family val="3"/>
        <charset val="134"/>
      </rPr>
      <t>消防水池</t>
    </r>
    <r>
      <rPr>
        <sz val="10"/>
        <color rgb="FF000000"/>
        <rFont val="Imago"/>
      </rPr>
      <t>2</t>
    </r>
    <phoneticPr fontId="11" type="noConversion"/>
  </si>
  <si>
    <t>016</t>
    <phoneticPr fontId="11" type="noConversion"/>
  </si>
  <si>
    <t>W5</t>
    <phoneticPr fontId="11" type="noConversion"/>
  </si>
  <si>
    <t>W5</t>
    <phoneticPr fontId="11" type="noConversion"/>
  </si>
  <si>
    <t>017</t>
    <phoneticPr fontId="11" type="noConversion"/>
  </si>
  <si>
    <r>
      <t>FUTURE EQUIPMENT RM</t>
    </r>
    <r>
      <rPr>
        <sz val="10"/>
        <color rgb="FF000000"/>
        <rFont val="宋体"/>
        <family val="3"/>
        <charset val="134"/>
      </rPr>
      <t>预留设备间</t>
    </r>
    <phoneticPr fontId="11" type="noConversion"/>
  </si>
  <si>
    <t>F11a</t>
    <phoneticPr fontId="11" type="noConversion"/>
  </si>
  <si>
    <t>W1a</t>
    <phoneticPr fontId="11" type="noConversion"/>
  </si>
  <si>
    <t>C3</t>
    <phoneticPr fontId="11" type="noConversion"/>
  </si>
  <si>
    <t>S3</t>
    <phoneticPr fontId="11" type="noConversion"/>
  </si>
  <si>
    <t>C7</t>
    <phoneticPr fontId="11" type="noConversion"/>
  </si>
  <si>
    <t>C7</t>
    <phoneticPr fontId="11" type="noConversion"/>
  </si>
  <si>
    <t>N/A</t>
    <phoneticPr fontId="11" type="noConversion"/>
  </si>
  <si>
    <t>018</t>
    <phoneticPr fontId="11" type="noConversion"/>
  </si>
  <si>
    <r>
      <t>DESMOKE RM 1</t>
    </r>
    <r>
      <rPr>
        <sz val="10"/>
        <color rgb="FF000000"/>
        <rFont val="宋体"/>
        <family val="3"/>
        <charset val="134"/>
      </rPr>
      <t>排烟机房</t>
    </r>
    <r>
      <rPr>
        <sz val="10"/>
        <color rgb="FF000000"/>
        <rFont val="Imago"/>
      </rPr>
      <t xml:space="preserve"> 1</t>
    </r>
    <phoneticPr fontId="11" type="noConversion"/>
  </si>
  <si>
    <t>F2b</t>
    <phoneticPr fontId="11" type="noConversion"/>
  </si>
  <si>
    <t>019</t>
    <phoneticPr fontId="11" type="noConversion"/>
  </si>
  <si>
    <r>
      <t>LV SWITCH RM</t>
    </r>
    <r>
      <rPr>
        <sz val="10"/>
        <color rgb="FF000000"/>
        <rFont val="宋体"/>
        <family val="3"/>
        <charset val="134"/>
      </rPr>
      <t>低压配电室</t>
    </r>
    <phoneticPr fontId="11" type="noConversion"/>
  </si>
  <si>
    <t>F6</t>
    <phoneticPr fontId="11" type="noConversion"/>
  </si>
  <si>
    <t>W1a</t>
    <phoneticPr fontId="11" type="noConversion"/>
  </si>
  <si>
    <t>019A</t>
    <phoneticPr fontId="11" type="noConversion"/>
  </si>
  <si>
    <r>
      <t>UPS RMUPS</t>
    </r>
    <r>
      <rPr>
        <sz val="10"/>
        <color rgb="FF000000"/>
        <rFont val="宋体"/>
        <family val="3"/>
        <charset val="134"/>
      </rPr>
      <t>间</t>
    </r>
    <phoneticPr fontId="11" type="noConversion"/>
  </si>
  <si>
    <t>020</t>
    <phoneticPr fontId="11" type="noConversion"/>
  </si>
  <si>
    <r>
      <t>HVAC 1</t>
    </r>
    <r>
      <rPr>
        <sz val="10"/>
        <color rgb="FF000000"/>
        <rFont val="宋体"/>
        <family val="3"/>
        <charset val="134"/>
      </rPr>
      <t>空调机房</t>
    </r>
    <r>
      <rPr>
        <sz val="10"/>
        <color rgb="FF000000"/>
        <rFont val="Imago"/>
      </rPr>
      <t>1</t>
    </r>
    <phoneticPr fontId="11" type="noConversion"/>
  </si>
  <si>
    <t>W1a</t>
    <phoneticPr fontId="11" type="noConversion"/>
  </si>
  <si>
    <t>W1a</t>
    <phoneticPr fontId="11" type="noConversion"/>
  </si>
  <si>
    <t>021</t>
    <phoneticPr fontId="11" type="noConversion"/>
  </si>
  <si>
    <r>
      <t>7#ELEVATOR7#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</si>
  <si>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t>N/A</t>
    <phoneticPr fontId="11" type="noConversion"/>
  </si>
  <si>
    <t>022</t>
    <phoneticPr fontId="11" type="noConversion"/>
  </si>
  <si>
    <t>023</t>
    <phoneticPr fontId="11" type="noConversion"/>
  </si>
  <si>
    <r>
      <t>ALARM VALVE</t>
    </r>
    <r>
      <rPr>
        <sz val="10"/>
        <color rgb="FF000000"/>
        <rFont val="宋体"/>
        <family val="3"/>
        <charset val="134"/>
      </rPr>
      <t>报警阀间</t>
    </r>
    <phoneticPr fontId="11" type="noConversion"/>
  </si>
  <si>
    <t>F2b</t>
    <phoneticPr fontId="11" type="noConversion"/>
  </si>
  <si>
    <t>025</t>
    <phoneticPr fontId="11" type="noConversion"/>
  </si>
  <si>
    <r>
      <t>FIRE FIGHTING PUMP RM</t>
    </r>
    <r>
      <rPr>
        <sz val="10"/>
        <color rgb="FF000000"/>
        <rFont val="宋体"/>
        <family val="3"/>
        <charset val="134"/>
      </rPr>
      <t>消防泵房</t>
    </r>
    <phoneticPr fontId="11" type="noConversion"/>
  </si>
  <si>
    <t>W1a</t>
    <phoneticPr fontId="11" type="noConversion"/>
  </si>
  <si>
    <t>027</t>
    <phoneticPr fontId="11" type="noConversion"/>
  </si>
  <si>
    <r>
      <t>HVAC RM 2</t>
    </r>
    <r>
      <rPr>
        <sz val="10"/>
        <color rgb="FF000000"/>
        <rFont val="宋体"/>
        <family val="3"/>
        <charset val="134"/>
      </rPr>
      <t>空调机房</t>
    </r>
    <r>
      <rPr>
        <sz val="10"/>
        <color rgb="FF000000"/>
        <rFont val="Imago"/>
      </rPr>
      <t>2</t>
    </r>
    <phoneticPr fontId="11" type="noConversion"/>
  </si>
  <si>
    <t>S6</t>
    <phoneticPr fontId="11" type="noConversion"/>
  </si>
  <si>
    <r>
      <t xml:space="preserve">1F </t>
    </r>
    <r>
      <rPr>
        <sz val="10"/>
        <color rgb="FF000000"/>
        <rFont val="宋体"/>
        <family val="3"/>
        <charset val="134"/>
      </rPr>
      <t>一层</t>
    </r>
    <phoneticPr fontId="11" type="noConversion"/>
  </si>
  <si>
    <t>101</t>
    <phoneticPr fontId="11" type="noConversion"/>
  </si>
  <si>
    <t>102</t>
    <phoneticPr fontId="11" type="noConversion"/>
  </si>
  <si>
    <t>102A</t>
    <phoneticPr fontId="11" type="noConversion"/>
  </si>
  <si>
    <t>103</t>
    <phoneticPr fontId="11" type="noConversion"/>
  </si>
  <si>
    <t>105</t>
    <phoneticPr fontId="11" type="noConversion"/>
  </si>
  <si>
    <t>106</t>
    <phoneticPr fontId="11" type="noConversion"/>
  </si>
  <si>
    <t>107</t>
    <phoneticPr fontId="11" type="noConversion"/>
  </si>
  <si>
    <t>107A</t>
    <phoneticPr fontId="11" type="noConversion"/>
  </si>
  <si>
    <t>108</t>
    <phoneticPr fontId="11" type="noConversion"/>
  </si>
  <si>
    <t>108A</t>
    <phoneticPr fontId="11" type="noConversion"/>
  </si>
  <si>
    <t>1#STAIRCASE1#楼梯间</t>
    <phoneticPr fontId="11" type="noConversion"/>
  </si>
  <si>
    <t>F10/F4</t>
    <phoneticPr fontId="11" type="noConversion"/>
  </si>
  <si>
    <t>W1a</t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</si>
  <si>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</si>
  <si>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r>
      <t>HANDICAPPED'S RM</t>
    </r>
    <r>
      <rPr>
        <sz val="10"/>
        <color rgb="FF000000"/>
        <rFont val="宋体"/>
        <family val="3"/>
        <charset val="134"/>
      </rPr>
      <t>无障碍卫生间</t>
    </r>
    <phoneticPr fontId="11" type="noConversion"/>
  </si>
  <si>
    <r>
      <t>WOMEN TOILET</t>
    </r>
    <r>
      <rPr>
        <sz val="10"/>
        <color rgb="FF000000"/>
        <rFont val="宋体"/>
        <family val="3"/>
        <charset val="134"/>
      </rPr>
      <t>女卫生间</t>
    </r>
    <phoneticPr fontId="11" type="noConversion"/>
  </si>
  <si>
    <r>
      <t>TOILET LOBBY</t>
    </r>
    <r>
      <rPr>
        <sz val="10"/>
        <color rgb="FF000000"/>
        <rFont val="宋体"/>
        <family val="3"/>
        <charset val="134"/>
      </rPr>
      <t>厕所前室</t>
    </r>
    <phoneticPr fontId="11" type="noConversion"/>
  </si>
  <si>
    <r>
      <t>MEN TOILET</t>
    </r>
    <r>
      <rPr>
        <sz val="10"/>
        <color rgb="FF000000"/>
        <rFont val="宋体"/>
        <family val="3"/>
        <charset val="134"/>
      </rPr>
      <t>男卫生间</t>
    </r>
    <phoneticPr fontId="11" type="noConversion"/>
  </si>
  <si>
    <r>
      <t>LOBBY 1</t>
    </r>
    <r>
      <rPr>
        <sz val="10"/>
        <color rgb="FF000000"/>
        <rFont val="宋体"/>
        <family val="3"/>
        <charset val="134"/>
      </rPr>
      <t>门厅</t>
    </r>
    <r>
      <rPr>
        <sz val="10"/>
        <color rgb="FF000000"/>
        <rFont val="Imago"/>
      </rPr>
      <t>1</t>
    </r>
    <phoneticPr fontId="11" type="noConversion"/>
  </si>
  <si>
    <r>
      <t>LOBBY 2</t>
    </r>
    <r>
      <rPr>
        <sz val="10"/>
        <color rgb="FF000000"/>
        <rFont val="宋体"/>
        <family val="3"/>
        <charset val="134"/>
      </rPr>
      <t>门厅</t>
    </r>
    <r>
      <rPr>
        <sz val="10"/>
        <color rgb="FF000000"/>
        <rFont val="Imago"/>
      </rPr>
      <t>2</t>
    </r>
    <phoneticPr fontId="11" type="noConversion"/>
  </si>
  <si>
    <r>
      <t>CANTEEN</t>
    </r>
    <r>
      <rPr>
        <sz val="10"/>
        <color rgb="FF000000"/>
        <rFont val="宋体"/>
        <family val="3"/>
        <charset val="134"/>
      </rPr>
      <t>餐厅</t>
    </r>
    <phoneticPr fontId="11" type="noConversion"/>
  </si>
  <si>
    <r>
      <t>PANTRY AREA</t>
    </r>
    <r>
      <rPr>
        <sz val="10"/>
        <color rgb="FF000000"/>
        <rFont val="宋体"/>
        <family val="3"/>
        <charset val="134"/>
      </rPr>
      <t>备餐区</t>
    </r>
    <phoneticPr fontId="11" type="noConversion"/>
  </si>
  <si>
    <t>F4</t>
    <phoneticPr fontId="11" type="noConversion"/>
  </si>
  <si>
    <t>F1b</t>
    <phoneticPr fontId="11" type="noConversion"/>
  </si>
  <si>
    <t>F4</t>
    <phoneticPr fontId="11" type="noConversion"/>
  </si>
  <si>
    <t>F4</t>
    <phoneticPr fontId="11" type="noConversion"/>
  </si>
  <si>
    <t>120</t>
    <phoneticPr fontId="11" type="noConversion"/>
  </si>
  <si>
    <t>121</t>
    <phoneticPr fontId="11" type="noConversion"/>
  </si>
  <si>
    <t>122</t>
    <phoneticPr fontId="11" type="noConversion"/>
  </si>
  <si>
    <t>123</t>
    <phoneticPr fontId="11" type="noConversion"/>
  </si>
  <si>
    <t>125</t>
    <phoneticPr fontId="11" type="noConversion"/>
  </si>
  <si>
    <t>126</t>
    <phoneticPr fontId="11" type="noConversion"/>
  </si>
  <si>
    <t>127</t>
    <phoneticPr fontId="11" type="noConversion"/>
  </si>
  <si>
    <t>135</t>
    <phoneticPr fontId="11" type="noConversion"/>
  </si>
  <si>
    <t>136</t>
    <phoneticPr fontId="11" type="noConversion"/>
  </si>
  <si>
    <t>137</t>
    <phoneticPr fontId="11" type="noConversion"/>
  </si>
  <si>
    <t>139</t>
    <phoneticPr fontId="11" type="noConversion"/>
  </si>
  <si>
    <t>150</t>
    <phoneticPr fontId="11" type="noConversion"/>
  </si>
  <si>
    <r>
      <t>11#ELEVATOR11#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</si>
  <si>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t>W1</t>
    <phoneticPr fontId="11" type="noConversion"/>
  </si>
  <si>
    <t>C3</t>
    <phoneticPr fontId="11" type="noConversion"/>
  </si>
  <si>
    <r>
      <t>W2</t>
    </r>
    <r>
      <rPr>
        <sz val="10"/>
        <color rgb="FF000000"/>
        <rFont val="宋体"/>
        <family val="3"/>
        <charset val="134"/>
      </rPr>
      <t>瓷砖墙面</t>
    </r>
    <phoneticPr fontId="11" type="noConversion"/>
  </si>
  <si>
    <r>
      <t>C2b</t>
    </r>
    <r>
      <rPr>
        <sz val="10"/>
        <color rgb="FF000000"/>
        <rFont val="宋体"/>
        <family val="3"/>
        <charset val="134"/>
      </rPr>
      <t>防水石膏板吊顶</t>
    </r>
    <phoneticPr fontId="11" type="noConversion"/>
  </si>
  <si>
    <r>
      <t>C5</t>
    </r>
    <r>
      <rPr>
        <sz val="10"/>
        <color rgb="FF000000"/>
        <rFont val="宋体"/>
        <family val="3"/>
        <charset val="134"/>
      </rPr>
      <t>穿孔金属吸音吊顶</t>
    </r>
    <phoneticPr fontId="11" type="noConversion"/>
  </si>
  <si>
    <r>
      <t>C5</t>
    </r>
    <r>
      <rPr>
        <sz val="10"/>
        <color rgb="FF000000"/>
        <rFont val="宋体"/>
        <family val="3"/>
        <charset val="134"/>
      </rPr>
      <t>穿孔金属吸音吊顶</t>
    </r>
    <phoneticPr fontId="11" type="noConversion"/>
  </si>
  <si>
    <t>NA</t>
    <phoneticPr fontId="11" type="noConversion"/>
  </si>
  <si>
    <t>NA</t>
    <phoneticPr fontId="11" type="noConversion"/>
  </si>
  <si>
    <t xml:space="preserve">N/A </t>
    <phoneticPr fontId="11" type="noConversion"/>
  </si>
  <si>
    <r>
      <t>SHAFT</t>
    </r>
    <r>
      <rPr>
        <sz val="10"/>
        <color rgb="FF000000"/>
        <rFont val="宋体"/>
        <family val="3"/>
        <charset val="134"/>
      </rPr>
      <t>管道井</t>
    </r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</si>
  <si>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</si>
  <si>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t>W1a</t>
    <phoneticPr fontId="11" type="noConversion"/>
  </si>
  <si>
    <t>C5</t>
    <phoneticPr fontId="11" type="noConversion"/>
  </si>
  <si>
    <t>S7</t>
    <phoneticPr fontId="11" type="noConversion"/>
  </si>
  <si>
    <r>
      <t>2#STAIRCASE2#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</si>
  <si>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S3/S4</t>
    <phoneticPr fontId="11" type="noConversion"/>
  </si>
  <si>
    <r>
      <t>MAIL RM/ TEA POINT</t>
    </r>
    <r>
      <rPr>
        <sz val="10"/>
        <color rgb="FF000000"/>
        <rFont val="宋体"/>
        <family val="3"/>
        <charset val="134"/>
      </rPr>
      <t>收发室</t>
    </r>
    <r>
      <rPr>
        <sz val="10"/>
        <color rgb="FF000000"/>
        <rFont val="Imago"/>
      </rPr>
      <t>\</t>
    </r>
    <r>
      <rPr>
        <sz val="10"/>
        <color rgb="FF000000"/>
        <rFont val="宋体"/>
        <family val="3"/>
        <charset val="134"/>
      </rPr>
      <t>茶水间</t>
    </r>
    <phoneticPr fontId="11" type="noConversion"/>
  </si>
  <si>
    <t>S2</t>
    <phoneticPr fontId="11" type="noConversion"/>
  </si>
  <si>
    <r>
      <t>CONFERENCE</t>
    </r>
    <r>
      <rPr>
        <sz val="10"/>
        <color rgb="FF000000"/>
        <rFont val="宋体"/>
        <family val="3"/>
        <charset val="134"/>
      </rPr>
      <t>会议室</t>
    </r>
    <phoneticPr fontId="11" type="noConversion"/>
  </si>
  <si>
    <r>
      <t>3#STAIRCASE3#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</si>
  <si>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F10</t>
    <phoneticPr fontId="11" type="noConversion"/>
  </si>
  <si>
    <t>W1</t>
    <phoneticPr fontId="11" type="noConversion"/>
  </si>
  <si>
    <t>S3</t>
    <phoneticPr fontId="11" type="noConversion"/>
  </si>
  <si>
    <r>
      <t>VIP1</t>
    </r>
    <r>
      <rPr>
        <sz val="10"/>
        <color rgb="FF000000"/>
        <rFont val="宋体"/>
        <family val="3"/>
        <charset val="134"/>
      </rPr>
      <t>贵宾厅</t>
    </r>
    <r>
      <rPr>
        <sz val="10"/>
        <color rgb="FF000000"/>
        <rFont val="Imago"/>
      </rPr>
      <t>1</t>
    </r>
    <phoneticPr fontId="11" type="noConversion"/>
  </si>
  <si>
    <r>
      <t>VIP2</t>
    </r>
    <r>
      <rPr>
        <sz val="10"/>
        <color rgb="FF000000"/>
        <rFont val="宋体"/>
        <family val="3"/>
        <charset val="134"/>
      </rPr>
      <t>贵宾厅</t>
    </r>
    <r>
      <rPr>
        <sz val="10"/>
        <color rgb="FF000000"/>
        <rFont val="Imago"/>
      </rPr>
      <t>2</t>
    </r>
    <phoneticPr fontId="11" type="noConversion"/>
  </si>
  <si>
    <t>F4</t>
    <phoneticPr fontId="11" type="noConversion"/>
  </si>
  <si>
    <t>C5</t>
    <phoneticPr fontId="11" type="noConversion"/>
  </si>
  <si>
    <r>
      <t>6#ELEVATOR6#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</si>
  <si>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r>
      <t>7#ELEVATOR7#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</si>
  <si>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t>151</t>
    <phoneticPr fontId="11" type="noConversion"/>
  </si>
  <si>
    <r>
      <t>HVAC</t>
    </r>
    <r>
      <rPr>
        <sz val="10"/>
        <color rgb="FF000000"/>
        <rFont val="宋体"/>
        <family val="3"/>
        <charset val="134"/>
      </rPr>
      <t>空调机房</t>
    </r>
    <phoneticPr fontId="11" type="noConversion"/>
  </si>
  <si>
    <t>152</t>
    <phoneticPr fontId="11" type="noConversion"/>
  </si>
  <si>
    <t>MDF&amp;IDF弱电间</t>
    <phoneticPr fontId="11" type="noConversion"/>
  </si>
  <si>
    <t>153</t>
    <phoneticPr fontId="11" type="noConversion"/>
  </si>
  <si>
    <t>SHAFT管道井</t>
    <phoneticPr fontId="11" type="noConversion"/>
  </si>
  <si>
    <t>155</t>
    <phoneticPr fontId="11" type="noConversion"/>
  </si>
  <si>
    <t>156</t>
    <phoneticPr fontId="11" type="noConversion"/>
  </si>
  <si>
    <t>157</t>
    <phoneticPr fontId="11" type="noConversion"/>
  </si>
  <si>
    <t>158</t>
    <phoneticPr fontId="11" type="noConversion"/>
  </si>
  <si>
    <t>160</t>
    <phoneticPr fontId="11" type="noConversion"/>
  </si>
  <si>
    <t>F11d</t>
    <phoneticPr fontId="11" type="noConversion"/>
  </si>
  <si>
    <t>F6</t>
    <phoneticPr fontId="11" type="noConversion"/>
  </si>
  <si>
    <r>
      <t>ELEC RM</t>
    </r>
    <r>
      <rPr>
        <sz val="10"/>
        <color rgb="FF000000"/>
        <rFont val="宋体"/>
        <family val="3"/>
        <charset val="134"/>
      </rPr>
      <t>强电间</t>
    </r>
    <phoneticPr fontId="11" type="noConversion"/>
  </si>
  <si>
    <t>F2b</t>
    <phoneticPr fontId="11" type="noConversion"/>
  </si>
  <si>
    <t>W1a</t>
    <phoneticPr fontId="11" type="noConversion"/>
  </si>
  <si>
    <t>C1</t>
    <phoneticPr fontId="11" type="noConversion"/>
  </si>
  <si>
    <t>C4</t>
    <phoneticPr fontId="11" type="noConversion"/>
  </si>
  <si>
    <t>W2</t>
    <phoneticPr fontId="11" type="noConversion"/>
  </si>
  <si>
    <r>
      <t>HOT KITCHEN</t>
    </r>
    <r>
      <rPr>
        <sz val="10"/>
        <color rgb="FF000000"/>
        <rFont val="宋体"/>
        <family val="3"/>
        <charset val="134"/>
      </rPr>
      <t>热厨房</t>
    </r>
    <phoneticPr fontId="11" type="noConversion"/>
  </si>
  <si>
    <t>161</t>
    <phoneticPr fontId="11" type="noConversion"/>
  </si>
  <si>
    <t>162</t>
    <phoneticPr fontId="11" type="noConversion"/>
  </si>
  <si>
    <t>163</t>
    <phoneticPr fontId="11" type="noConversion"/>
  </si>
  <si>
    <t>165</t>
    <phoneticPr fontId="11" type="noConversion"/>
  </si>
  <si>
    <t>166</t>
    <phoneticPr fontId="11" type="noConversion"/>
  </si>
  <si>
    <r>
      <t>DISH WASHING</t>
    </r>
    <r>
      <rPr>
        <sz val="10"/>
        <color rgb="FF000000"/>
        <rFont val="宋体"/>
        <family val="3"/>
        <charset val="134"/>
      </rPr>
      <t>洗碗间</t>
    </r>
    <phoneticPr fontId="11" type="noConversion"/>
  </si>
  <si>
    <r>
      <t>DISH STORAGE</t>
    </r>
    <r>
      <rPr>
        <sz val="10"/>
        <color rgb="FF000000"/>
        <rFont val="宋体"/>
        <family val="3"/>
        <charset val="134"/>
      </rPr>
      <t>碗碟仓库</t>
    </r>
    <phoneticPr fontId="11" type="noConversion"/>
  </si>
  <si>
    <r>
      <t>STORAGE</t>
    </r>
    <r>
      <rPr>
        <sz val="10"/>
        <color rgb="FF000000"/>
        <rFont val="宋体"/>
        <family val="3"/>
        <charset val="134"/>
      </rPr>
      <t>仓库</t>
    </r>
    <phoneticPr fontId="11" type="noConversion"/>
  </si>
  <si>
    <r>
      <t>CLEAN STORAGE</t>
    </r>
    <r>
      <rPr>
        <sz val="10"/>
        <color rgb="FF000000"/>
        <rFont val="宋体"/>
        <family val="3"/>
        <charset val="134"/>
      </rPr>
      <t>清洁品仓库</t>
    </r>
    <phoneticPr fontId="11" type="noConversion"/>
  </si>
  <si>
    <r>
      <t>CLEAN ROOM</t>
    </r>
    <r>
      <rPr>
        <sz val="10"/>
        <color rgb="FF000000"/>
        <rFont val="宋体"/>
        <family val="3"/>
        <charset val="134"/>
      </rPr>
      <t>清洁间</t>
    </r>
    <phoneticPr fontId="11" type="noConversion"/>
  </si>
  <si>
    <r>
      <t>GARBAGE COOLER</t>
    </r>
    <r>
      <rPr>
        <sz val="10"/>
        <color rgb="FF000000"/>
        <rFont val="宋体"/>
        <family val="3"/>
        <charset val="134"/>
      </rPr>
      <t>垃圾冷库</t>
    </r>
    <phoneticPr fontId="11" type="noConversion"/>
  </si>
  <si>
    <t>167</t>
    <phoneticPr fontId="11" type="noConversion"/>
  </si>
  <si>
    <t>168</t>
    <phoneticPr fontId="11" type="noConversion"/>
  </si>
  <si>
    <t>169</t>
    <phoneticPr fontId="11" type="noConversion"/>
  </si>
  <si>
    <r>
      <t>OFFICE</t>
    </r>
    <r>
      <rPr>
        <sz val="10"/>
        <color rgb="FF000000"/>
        <rFont val="宋体"/>
        <family val="3"/>
        <charset val="134"/>
      </rPr>
      <t>操作间</t>
    </r>
    <phoneticPr fontId="11" type="noConversion"/>
  </si>
  <si>
    <t>F1c</t>
    <phoneticPr fontId="11" type="noConversion"/>
  </si>
  <si>
    <t>W4</t>
    <phoneticPr fontId="11" type="noConversion"/>
  </si>
  <si>
    <t>170</t>
    <phoneticPr fontId="11" type="noConversion"/>
  </si>
  <si>
    <t>171</t>
    <phoneticPr fontId="11" type="noConversion"/>
  </si>
  <si>
    <t>172</t>
    <phoneticPr fontId="11" type="noConversion"/>
  </si>
  <si>
    <t>173</t>
    <phoneticPr fontId="11" type="noConversion"/>
  </si>
  <si>
    <r>
      <t>VER PREP</t>
    </r>
    <r>
      <rPr>
        <sz val="10"/>
        <color rgb="FF000000"/>
        <rFont val="宋体"/>
        <family val="3"/>
        <charset val="134"/>
      </rPr>
      <t>蔬菜加工</t>
    </r>
    <phoneticPr fontId="11" type="noConversion"/>
  </si>
  <si>
    <t>C4</t>
    <phoneticPr fontId="11" type="noConversion"/>
  </si>
  <si>
    <t>C6</t>
    <phoneticPr fontId="11" type="noConversion"/>
  </si>
  <si>
    <r>
      <t>MEAT PREP</t>
    </r>
    <r>
      <rPr>
        <sz val="10"/>
        <color rgb="FF000000"/>
        <rFont val="宋体"/>
        <family val="3"/>
        <charset val="134"/>
      </rPr>
      <t>肉类加工</t>
    </r>
    <phoneticPr fontId="11" type="noConversion"/>
  </si>
  <si>
    <r>
      <t>PASTRY RM</t>
    </r>
    <r>
      <rPr>
        <sz val="10"/>
        <color rgb="FF000000"/>
        <rFont val="宋体"/>
        <family val="3"/>
        <charset val="134"/>
      </rPr>
      <t>点心间</t>
    </r>
    <phoneticPr fontId="11" type="noConversion"/>
  </si>
  <si>
    <r>
      <t>FRUIT RM</t>
    </r>
    <r>
      <rPr>
        <sz val="10"/>
        <color rgb="FF000000"/>
        <rFont val="宋体"/>
        <family val="3"/>
        <charset val="134"/>
      </rPr>
      <t>水果间</t>
    </r>
    <phoneticPr fontId="11" type="noConversion"/>
  </si>
  <si>
    <r>
      <t>SECOND CHANGE</t>
    </r>
    <r>
      <rPr>
        <sz val="10"/>
        <color rgb="FF000000"/>
        <rFont val="宋体"/>
        <family val="3"/>
        <charset val="134"/>
      </rPr>
      <t>二次更衣</t>
    </r>
    <phoneticPr fontId="11" type="noConversion"/>
  </si>
  <si>
    <t>175</t>
    <phoneticPr fontId="11" type="noConversion"/>
  </si>
  <si>
    <t>176</t>
    <phoneticPr fontId="11" type="noConversion"/>
  </si>
  <si>
    <t>177</t>
    <phoneticPr fontId="11" type="noConversion"/>
  </si>
  <si>
    <t>178</t>
    <phoneticPr fontId="11" type="noConversion"/>
  </si>
  <si>
    <r>
      <t>POT WASH AREA</t>
    </r>
    <r>
      <rPr>
        <sz val="10"/>
        <color rgb="FF000000"/>
        <rFont val="宋体"/>
        <family val="3"/>
        <charset val="134"/>
      </rPr>
      <t>洗锅间</t>
    </r>
    <phoneticPr fontId="11" type="noConversion"/>
  </si>
  <si>
    <r>
      <t>WALK IN COOLER</t>
    </r>
    <r>
      <rPr>
        <sz val="10"/>
        <color rgb="FF000000"/>
        <rFont val="宋体"/>
        <family val="3"/>
        <charset val="134"/>
      </rPr>
      <t>高温冷库</t>
    </r>
    <phoneticPr fontId="11" type="noConversion"/>
  </si>
  <si>
    <r>
      <t xml:space="preserve">2F </t>
    </r>
    <r>
      <rPr>
        <sz val="10"/>
        <color rgb="FF000000"/>
        <rFont val="宋体"/>
        <family val="3"/>
        <charset val="134"/>
      </rPr>
      <t>二层</t>
    </r>
    <phoneticPr fontId="11" type="noConversion"/>
  </si>
  <si>
    <t>201</t>
    <phoneticPr fontId="11" type="noConversion"/>
  </si>
  <si>
    <r>
      <t>1#STAIRCASE1#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</si>
  <si>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F4</t>
    <phoneticPr fontId="11" type="noConversion"/>
  </si>
  <si>
    <t>C3</t>
    <phoneticPr fontId="11" type="noConversion"/>
  </si>
  <si>
    <t>S4</t>
    <phoneticPr fontId="11" type="noConversion"/>
  </si>
  <si>
    <t>202</t>
    <phoneticPr fontId="11" type="noConversion"/>
  </si>
  <si>
    <t>203</t>
    <phoneticPr fontId="11" type="noConversion"/>
  </si>
  <si>
    <t>205</t>
    <phoneticPr fontId="11" type="noConversion"/>
  </si>
  <si>
    <t>206</t>
    <phoneticPr fontId="11" type="noConversion"/>
  </si>
  <si>
    <t>207</t>
    <phoneticPr fontId="11" type="noConversion"/>
  </si>
  <si>
    <t>208</t>
    <phoneticPr fontId="11" type="noConversion"/>
  </si>
  <si>
    <t>209</t>
    <phoneticPr fontId="11" type="noConversion"/>
  </si>
  <si>
    <t>210</t>
    <phoneticPr fontId="11" type="noConversion"/>
  </si>
  <si>
    <t>S6</t>
    <phoneticPr fontId="11" type="noConversion"/>
  </si>
  <si>
    <r>
      <t>MDF&amp;IDF</t>
    </r>
    <r>
      <rPr>
        <sz val="10"/>
        <color rgb="FF000000"/>
        <rFont val="宋体"/>
        <family val="3"/>
        <charset val="134"/>
      </rPr>
      <t>弱电间</t>
    </r>
    <phoneticPr fontId="11" type="noConversion"/>
  </si>
  <si>
    <t>W1a</t>
    <phoneticPr fontId="11" type="noConversion"/>
  </si>
  <si>
    <r>
      <t>MEN TOILET</t>
    </r>
    <r>
      <rPr>
        <sz val="10"/>
        <color rgb="FF000000"/>
        <rFont val="宋体"/>
        <family val="3"/>
        <charset val="134"/>
      </rPr>
      <t>男卫生间</t>
    </r>
    <phoneticPr fontId="11" type="noConversion"/>
  </si>
  <si>
    <t>F1a</t>
    <phoneticPr fontId="11" type="noConversion"/>
  </si>
  <si>
    <t>C2b</t>
    <phoneticPr fontId="11" type="noConversion"/>
  </si>
  <si>
    <t>W2</t>
    <phoneticPr fontId="11" type="noConversion"/>
  </si>
  <si>
    <t>211</t>
    <phoneticPr fontId="11" type="noConversion"/>
  </si>
  <si>
    <r>
      <t>LOBBY</t>
    </r>
    <r>
      <rPr>
        <sz val="10"/>
        <color rgb="FF000000"/>
        <rFont val="宋体"/>
        <family val="3"/>
        <charset val="134"/>
      </rPr>
      <t>门厅</t>
    </r>
    <phoneticPr fontId="11" type="noConversion"/>
  </si>
  <si>
    <t>F5</t>
    <phoneticPr fontId="11" type="noConversion"/>
  </si>
  <si>
    <t>211A</t>
    <phoneticPr fontId="11" type="noConversion"/>
  </si>
  <si>
    <t>咖啡吧</t>
    <phoneticPr fontId="11" type="noConversion"/>
  </si>
  <si>
    <t>F5</t>
    <phoneticPr fontId="11" type="noConversion"/>
  </si>
  <si>
    <t>W1/W3a</t>
    <phoneticPr fontId="11" type="noConversion"/>
  </si>
  <si>
    <t>212</t>
    <phoneticPr fontId="11" type="noConversion"/>
  </si>
  <si>
    <r>
      <t>OFFICE</t>
    </r>
    <r>
      <rPr>
        <sz val="10"/>
        <color rgb="FF000000"/>
        <rFont val="宋体"/>
        <family val="3"/>
        <charset val="134"/>
      </rPr>
      <t>办公室</t>
    </r>
    <phoneticPr fontId="11" type="noConversion"/>
  </si>
  <si>
    <t>W1/W3b</t>
  </si>
  <si>
    <t>W1/W3b</t>
    <phoneticPr fontId="11" type="noConversion"/>
  </si>
  <si>
    <t>213</t>
    <phoneticPr fontId="11" type="noConversion"/>
  </si>
  <si>
    <t>215</t>
    <phoneticPr fontId="11" type="noConversion"/>
  </si>
  <si>
    <t>216</t>
    <phoneticPr fontId="11" type="noConversion"/>
  </si>
  <si>
    <t>217</t>
    <phoneticPr fontId="11" type="noConversion"/>
  </si>
  <si>
    <t>OPEN OFFICE开敞办公区</t>
    <phoneticPr fontId="11" type="noConversion"/>
  </si>
  <si>
    <t>219</t>
    <phoneticPr fontId="11" type="noConversion"/>
  </si>
  <si>
    <t>222</t>
    <phoneticPr fontId="11" type="noConversion"/>
  </si>
  <si>
    <t>W1b</t>
    <phoneticPr fontId="11" type="noConversion"/>
  </si>
  <si>
    <t>223</t>
    <phoneticPr fontId="11" type="noConversion"/>
  </si>
  <si>
    <r>
      <t>STORAGE</t>
    </r>
    <r>
      <rPr>
        <sz val="10"/>
        <color rgb="FF000000"/>
        <rFont val="宋体"/>
        <family val="3"/>
        <charset val="134"/>
      </rPr>
      <t>存储室</t>
    </r>
    <phoneticPr fontId="11" type="noConversion"/>
  </si>
  <si>
    <r>
      <t>STORAGE</t>
    </r>
    <r>
      <rPr>
        <sz val="10"/>
        <color rgb="FF000000"/>
        <rFont val="宋体"/>
        <family val="3"/>
        <charset val="134"/>
      </rPr>
      <t>存储室</t>
    </r>
    <phoneticPr fontId="11" type="noConversion"/>
  </si>
  <si>
    <t>225</t>
    <phoneticPr fontId="11" type="noConversion"/>
  </si>
  <si>
    <r>
      <t>SHAFT</t>
    </r>
    <r>
      <rPr>
        <sz val="10"/>
        <color rgb="FF000000"/>
        <rFont val="宋体"/>
        <family val="3"/>
        <charset val="134"/>
      </rPr>
      <t>管道井</t>
    </r>
    <phoneticPr fontId="11" type="noConversion"/>
  </si>
  <si>
    <t>226</t>
    <phoneticPr fontId="11" type="noConversion"/>
  </si>
  <si>
    <t>227</t>
    <phoneticPr fontId="11" type="noConversion"/>
  </si>
  <si>
    <t>228</t>
    <phoneticPr fontId="11" type="noConversion"/>
  </si>
  <si>
    <r>
      <t>11#ELEVATOR11#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</si>
  <si>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t>F4</t>
    <phoneticPr fontId="11" type="noConversion"/>
  </si>
  <si>
    <t>W1</t>
    <phoneticPr fontId="11" type="noConversion"/>
  </si>
  <si>
    <t>S4</t>
    <phoneticPr fontId="11" type="noConversion"/>
  </si>
  <si>
    <t>230</t>
    <phoneticPr fontId="11" type="noConversion"/>
  </si>
  <si>
    <t>W1b/W3b</t>
    <phoneticPr fontId="11" type="noConversion"/>
  </si>
  <si>
    <t>231</t>
    <phoneticPr fontId="11" type="noConversion"/>
  </si>
  <si>
    <r>
      <t>STUDY BOOTH</t>
    </r>
    <r>
      <rPr>
        <sz val="10"/>
        <color rgb="FF000000"/>
        <rFont val="宋体"/>
        <family val="3"/>
        <charset val="134"/>
      </rPr>
      <t>研讨室</t>
    </r>
    <phoneticPr fontId="11" type="noConversion"/>
  </si>
  <si>
    <t>232</t>
    <phoneticPr fontId="11" type="noConversion"/>
  </si>
  <si>
    <t>233</t>
    <phoneticPr fontId="11" type="noConversion"/>
  </si>
  <si>
    <t>235</t>
    <phoneticPr fontId="11" type="noConversion"/>
  </si>
  <si>
    <r>
      <t>CONFERENCE</t>
    </r>
    <r>
      <rPr>
        <sz val="10"/>
        <color rgb="FF000000"/>
        <rFont val="宋体"/>
        <family val="3"/>
        <charset val="134"/>
      </rPr>
      <t>会议室</t>
    </r>
    <phoneticPr fontId="11" type="noConversion"/>
  </si>
  <si>
    <r>
      <t>CONFERENCE</t>
    </r>
    <r>
      <rPr>
        <sz val="10"/>
        <color rgb="FF000000"/>
        <rFont val="宋体"/>
        <family val="3"/>
        <charset val="134"/>
      </rPr>
      <t>会议室</t>
    </r>
    <phoneticPr fontId="11" type="noConversion"/>
  </si>
  <si>
    <t>236</t>
    <phoneticPr fontId="11" type="noConversion"/>
  </si>
  <si>
    <t>236A</t>
    <phoneticPr fontId="11" type="noConversion"/>
  </si>
  <si>
    <t>237</t>
    <phoneticPr fontId="11" type="noConversion"/>
  </si>
  <si>
    <r>
      <t>TRAINING</t>
    </r>
    <r>
      <rPr>
        <sz val="10"/>
        <color rgb="FF000000"/>
        <rFont val="宋体"/>
        <family val="3"/>
        <charset val="134"/>
      </rPr>
      <t>培训室</t>
    </r>
    <phoneticPr fontId="11" type="noConversion"/>
  </si>
  <si>
    <t>238</t>
    <phoneticPr fontId="11" type="noConversion"/>
  </si>
  <si>
    <r>
      <t xml:space="preserve">MULTI - PURPOSE </t>
    </r>
    <r>
      <rPr>
        <sz val="10"/>
        <color rgb="FF000000"/>
        <rFont val="宋体"/>
        <family val="3"/>
        <charset val="134"/>
      </rPr>
      <t>多功能厅</t>
    </r>
    <phoneticPr fontId="11" type="noConversion"/>
  </si>
  <si>
    <t>238A</t>
    <phoneticPr fontId="11" type="noConversion"/>
  </si>
  <si>
    <t>239</t>
    <phoneticPr fontId="11" type="noConversion"/>
  </si>
  <si>
    <r>
      <t>GROUP FITNESS</t>
    </r>
    <r>
      <rPr>
        <sz val="10"/>
        <color rgb="FF000000"/>
        <rFont val="宋体"/>
        <family val="3"/>
        <charset val="134"/>
      </rPr>
      <t>健身中心</t>
    </r>
    <phoneticPr fontId="11" type="noConversion"/>
  </si>
  <si>
    <t>F8</t>
    <phoneticPr fontId="11" type="noConversion"/>
  </si>
  <si>
    <t>250</t>
    <phoneticPr fontId="11" type="noConversion"/>
  </si>
  <si>
    <r>
      <t>EQUIPMENT WEIGHT RM</t>
    </r>
    <r>
      <rPr>
        <sz val="10"/>
        <color rgb="FF000000"/>
        <rFont val="宋体"/>
        <family val="3"/>
        <charset val="134"/>
      </rPr>
      <t>器械室</t>
    </r>
    <phoneticPr fontId="11" type="noConversion"/>
  </si>
  <si>
    <t>F8</t>
    <phoneticPr fontId="11" type="noConversion"/>
  </si>
  <si>
    <r>
      <t>S1</t>
    </r>
    <r>
      <rPr>
        <sz val="10"/>
        <color rgb="FF000000"/>
        <rFont val="宋体"/>
        <family val="3"/>
        <charset val="134"/>
      </rPr>
      <t>环氧踢脚</t>
    </r>
    <phoneticPr fontId="11" type="noConversion"/>
  </si>
  <si>
    <r>
      <t>S1</t>
    </r>
    <r>
      <rPr>
        <sz val="10"/>
        <color rgb="FF000000"/>
        <rFont val="宋体"/>
        <family val="3"/>
        <charset val="134"/>
      </rPr>
      <t>环氧踢脚</t>
    </r>
    <phoneticPr fontId="11" type="noConversion"/>
  </si>
  <si>
    <t>251</t>
    <phoneticPr fontId="11" type="noConversion"/>
  </si>
  <si>
    <t>252</t>
    <phoneticPr fontId="11" type="noConversion"/>
  </si>
  <si>
    <r>
      <t>W. LOCKER</t>
    </r>
    <r>
      <rPr>
        <sz val="10"/>
        <color rgb="FF000000"/>
        <rFont val="宋体"/>
        <family val="3"/>
        <charset val="134"/>
      </rPr>
      <t>女更衣</t>
    </r>
    <phoneticPr fontId="11" type="noConversion"/>
  </si>
  <si>
    <t>F1b</t>
    <phoneticPr fontId="11" type="noConversion"/>
  </si>
  <si>
    <t>F1b</t>
    <phoneticPr fontId="11" type="noConversion"/>
  </si>
  <si>
    <t>F4</t>
    <phoneticPr fontId="11" type="noConversion"/>
  </si>
  <si>
    <t>W2</t>
    <phoneticPr fontId="11" type="noConversion"/>
  </si>
  <si>
    <t>W2</t>
    <phoneticPr fontId="11" type="noConversion"/>
  </si>
  <si>
    <t>S2</t>
    <phoneticPr fontId="11" type="noConversion"/>
  </si>
  <si>
    <t>S2</t>
    <phoneticPr fontId="11" type="noConversion"/>
  </si>
  <si>
    <t>255</t>
    <phoneticPr fontId="11" type="noConversion"/>
  </si>
  <si>
    <t>256</t>
    <phoneticPr fontId="11" type="noConversion"/>
  </si>
  <si>
    <r>
      <t>LINK BRIDGE</t>
    </r>
    <r>
      <rPr>
        <sz val="10"/>
        <color rgb="FF000000"/>
        <rFont val="宋体"/>
        <family val="3"/>
        <charset val="134"/>
      </rPr>
      <t>廊桥</t>
    </r>
    <phoneticPr fontId="11" type="noConversion"/>
  </si>
  <si>
    <t>W1</t>
    <phoneticPr fontId="11" type="noConversion"/>
  </si>
  <si>
    <r>
      <t>M. LOCKER</t>
    </r>
    <r>
      <rPr>
        <sz val="10"/>
        <color rgb="FF000000"/>
        <rFont val="宋体"/>
        <family val="3"/>
        <charset val="134"/>
      </rPr>
      <t>男更衣</t>
    </r>
    <phoneticPr fontId="11" type="noConversion"/>
  </si>
  <si>
    <t>C4</t>
    <phoneticPr fontId="11" type="noConversion"/>
  </si>
  <si>
    <r>
      <t>SPARE</t>
    </r>
    <r>
      <rPr>
        <sz val="10"/>
        <color rgb="FF000000"/>
        <rFont val="宋体"/>
        <family val="3"/>
        <charset val="134"/>
      </rPr>
      <t>研讨室</t>
    </r>
    <phoneticPr fontId="11" type="noConversion"/>
  </si>
  <si>
    <t>C5</t>
    <phoneticPr fontId="11" type="noConversion"/>
  </si>
  <si>
    <t>257</t>
    <phoneticPr fontId="11" type="noConversion"/>
  </si>
  <si>
    <t>VIDEO CONFERENCE ROOM视频会议室</t>
    <phoneticPr fontId="11" type="noConversion"/>
  </si>
  <si>
    <r>
      <t>F5</t>
    </r>
    <r>
      <rPr>
        <sz val="10"/>
        <color rgb="FF000000"/>
        <rFont val="宋体"/>
        <family val="3"/>
        <charset val="134"/>
      </rPr>
      <t>耐磨拼合地毯</t>
    </r>
    <phoneticPr fontId="11" type="noConversion"/>
  </si>
  <si>
    <r>
      <t>F5</t>
    </r>
    <r>
      <rPr>
        <sz val="10"/>
        <color rgb="FF000000"/>
        <rFont val="宋体"/>
        <family val="3"/>
        <charset val="134"/>
      </rPr>
      <t>耐磨拼合地毯</t>
    </r>
    <phoneticPr fontId="11" type="noConversion"/>
  </si>
  <si>
    <r>
      <t xml:space="preserve">3F </t>
    </r>
    <r>
      <rPr>
        <sz val="10"/>
        <color rgb="FF000000"/>
        <rFont val="宋体"/>
        <family val="3"/>
        <charset val="134"/>
      </rPr>
      <t>三层</t>
    </r>
    <phoneticPr fontId="11" type="noConversion"/>
  </si>
  <si>
    <t>W1</t>
    <phoneticPr fontId="11" type="noConversion"/>
  </si>
  <si>
    <t>301</t>
    <phoneticPr fontId="11" type="noConversion"/>
  </si>
  <si>
    <r>
      <t>1#STAIRCASE1#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</si>
  <si>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302</t>
    <phoneticPr fontId="11" type="noConversion"/>
  </si>
  <si>
    <r>
      <t>PRINTER RM</t>
    </r>
    <r>
      <rPr>
        <sz val="10"/>
        <color rgb="FF000000"/>
        <rFont val="宋体"/>
        <family val="3"/>
        <charset val="134"/>
      </rPr>
      <t>打印室</t>
    </r>
    <phoneticPr fontId="11" type="noConversion"/>
  </si>
  <si>
    <t>F5</t>
    <phoneticPr fontId="11" type="noConversion"/>
  </si>
  <si>
    <t>C5</t>
    <phoneticPr fontId="11" type="noConversion"/>
  </si>
  <si>
    <t>305</t>
    <phoneticPr fontId="11" type="noConversion"/>
  </si>
  <si>
    <t>306</t>
    <phoneticPr fontId="11" type="noConversion"/>
  </si>
  <si>
    <t>303</t>
    <phoneticPr fontId="11" type="noConversion"/>
  </si>
  <si>
    <t>307</t>
    <phoneticPr fontId="11" type="noConversion"/>
  </si>
  <si>
    <r>
      <t>OPEN OFFICE</t>
    </r>
    <r>
      <rPr>
        <sz val="10"/>
        <color rgb="FF000000"/>
        <rFont val="宋体"/>
        <family val="3"/>
        <charset val="134"/>
      </rPr>
      <t>开敞办公区</t>
    </r>
    <phoneticPr fontId="11" type="noConversion"/>
  </si>
  <si>
    <t>STUDY BOOTH研讨室</t>
    <phoneticPr fontId="11" type="noConversion"/>
  </si>
  <si>
    <r>
      <t>2P MEETING</t>
    </r>
    <r>
      <rPr>
        <sz val="10"/>
        <color rgb="FF000000"/>
        <rFont val="宋体"/>
        <family val="3"/>
        <charset val="134"/>
      </rPr>
      <t>双人会议室</t>
    </r>
    <phoneticPr fontId="11" type="noConversion"/>
  </si>
  <si>
    <r>
      <t>HR STORAGE RM</t>
    </r>
    <r>
      <rPr>
        <sz val="10"/>
        <color rgb="FF000000"/>
        <rFont val="宋体"/>
        <family val="3"/>
        <charset val="134"/>
      </rPr>
      <t>人事储物间</t>
    </r>
    <phoneticPr fontId="11" type="noConversion"/>
  </si>
  <si>
    <t>309</t>
    <phoneticPr fontId="11" type="noConversion"/>
  </si>
  <si>
    <t>310</t>
    <phoneticPr fontId="11" type="noConversion"/>
  </si>
  <si>
    <t>311</t>
    <phoneticPr fontId="11" type="noConversion"/>
  </si>
  <si>
    <t>316</t>
    <phoneticPr fontId="11" type="noConversion"/>
  </si>
  <si>
    <t>318</t>
    <phoneticPr fontId="11" type="noConversion"/>
  </si>
  <si>
    <t>321</t>
    <phoneticPr fontId="11" type="noConversion"/>
  </si>
  <si>
    <t>323</t>
    <phoneticPr fontId="11" type="noConversion"/>
  </si>
  <si>
    <r>
      <t>8P MEETING8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</si>
  <si>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t>325</t>
    <phoneticPr fontId="11" type="noConversion"/>
  </si>
  <si>
    <t>326</t>
    <phoneticPr fontId="11" type="noConversion"/>
  </si>
  <si>
    <t>327</t>
    <phoneticPr fontId="11" type="noConversion"/>
  </si>
  <si>
    <t>328</t>
    <phoneticPr fontId="11" type="noConversion"/>
  </si>
  <si>
    <t>329</t>
    <phoneticPr fontId="11" type="noConversion"/>
  </si>
  <si>
    <t>330</t>
    <phoneticPr fontId="11" type="noConversion"/>
  </si>
  <si>
    <t>331</t>
    <phoneticPr fontId="11" type="noConversion"/>
  </si>
  <si>
    <t>332</t>
    <phoneticPr fontId="11" type="noConversion"/>
  </si>
  <si>
    <t>333</t>
    <phoneticPr fontId="11" type="noConversion"/>
  </si>
  <si>
    <t>335</t>
    <phoneticPr fontId="11" type="noConversion"/>
  </si>
  <si>
    <t>336</t>
    <phoneticPr fontId="11" type="noConversion"/>
  </si>
  <si>
    <t>337</t>
    <phoneticPr fontId="11" type="noConversion"/>
  </si>
  <si>
    <t>338</t>
    <phoneticPr fontId="11" type="noConversion"/>
  </si>
  <si>
    <t>339</t>
    <phoneticPr fontId="11" type="noConversion"/>
  </si>
  <si>
    <t>352</t>
    <phoneticPr fontId="11" type="noConversion"/>
  </si>
  <si>
    <r>
      <t>OFFICE</t>
    </r>
    <r>
      <rPr>
        <sz val="10"/>
        <color rgb="FF000000"/>
        <rFont val="宋体"/>
        <family val="3"/>
        <charset val="134"/>
      </rPr>
      <t>办公室</t>
    </r>
    <phoneticPr fontId="11" type="noConversion"/>
  </si>
  <si>
    <r>
      <t>PRINTER RM</t>
    </r>
    <r>
      <rPr>
        <sz val="10"/>
        <color rgb="FF000000"/>
        <rFont val="宋体"/>
        <family val="3"/>
        <charset val="134"/>
      </rPr>
      <t>打印室</t>
    </r>
    <phoneticPr fontId="11" type="noConversion"/>
  </si>
  <si>
    <r>
      <t>STUDY BOOTH</t>
    </r>
    <r>
      <rPr>
        <sz val="10"/>
        <color rgb="FF000000"/>
        <rFont val="宋体"/>
        <family val="3"/>
        <charset val="134"/>
      </rPr>
      <t>研讨室</t>
    </r>
    <phoneticPr fontId="11" type="noConversion"/>
  </si>
  <si>
    <r>
      <t>2P MEETING</t>
    </r>
    <r>
      <rPr>
        <sz val="10"/>
        <color rgb="FF000000"/>
        <rFont val="宋体"/>
        <family val="3"/>
        <charset val="134"/>
      </rPr>
      <t>双人会议室</t>
    </r>
    <phoneticPr fontId="11" type="noConversion"/>
  </si>
  <si>
    <r>
      <t>FM STORAGE RM</t>
    </r>
    <r>
      <rPr>
        <sz val="10"/>
        <color rgb="FF000000"/>
        <rFont val="宋体"/>
        <family val="3"/>
        <charset val="134"/>
      </rPr>
      <t>财务经理室</t>
    </r>
    <phoneticPr fontId="11" type="noConversion"/>
  </si>
  <si>
    <r>
      <t>FINANCE RUNNING RM</t>
    </r>
    <r>
      <rPr>
        <sz val="10"/>
        <color rgb="FF000000"/>
        <rFont val="宋体"/>
        <family val="3"/>
        <charset val="134"/>
      </rPr>
      <t>财务室</t>
    </r>
    <r>
      <rPr>
        <sz val="10"/>
        <color rgb="FF000000"/>
        <rFont val="Imago"/>
      </rPr>
      <t xml:space="preserve"> </t>
    </r>
    <phoneticPr fontId="11" type="noConversion"/>
  </si>
  <si>
    <t>W1b/W3b</t>
    <phoneticPr fontId="11" type="noConversion"/>
  </si>
  <si>
    <r>
      <t>COMMUNICATIONS</t>
    </r>
    <r>
      <rPr>
        <sz val="10"/>
        <color rgb="FF000000"/>
        <rFont val="宋体"/>
        <family val="3"/>
        <charset val="134"/>
      </rPr>
      <t>通信存储</t>
    </r>
    <phoneticPr fontId="11" type="noConversion"/>
  </si>
  <si>
    <r>
      <t>LEGAL COMPLIANCE</t>
    </r>
    <r>
      <rPr>
        <sz val="10"/>
        <color rgb="FF000000"/>
        <rFont val="宋体"/>
        <family val="3"/>
        <charset val="134"/>
      </rPr>
      <t>法务文本间</t>
    </r>
    <phoneticPr fontId="11" type="noConversion"/>
  </si>
  <si>
    <t>OPEN OFFICE开敞办公区</t>
    <phoneticPr fontId="11" type="noConversion"/>
  </si>
  <si>
    <t>OFFICE办公室</t>
    <phoneticPr fontId="11" type="noConversion"/>
  </si>
  <si>
    <t>353</t>
    <phoneticPr fontId="11" type="noConversion"/>
  </si>
  <si>
    <t>355</t>
    <phoneticPr fontId="11" type="noConversion"/>
  </si>
  <si>
    <r>
      <t>4P MEETING4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</si>
  <si>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t>356</t>
    <phoneticPr fontId="11" type="noConversion"/>
  </si>
  <si>
    <r>
      <t>OFFICE</t>
    </r>
    <r>
      <rPr>
        <sz val="10"/>
        <color rgb="FF000000"/>
        <rFont val="宋体"/>
        <family val="3"/>
        <charset val="134"/>
      </rPr>
      <t>办公室</t>
    </r>
    <phoneticPr fontId="11" type="noConversion"/>
  </si>
  <si>
    <t>357</t>
    <phoneticPr fontId="11" type="noConversion"/>
  </si>
  <si>
    <t>359</t>
    <phoneticPr fontId="11" type="noConversion"/>
  </si>
  <si>
    <t>361</t>
    <phoneticPr fontId="11" type="noConversion"/>
  </si>
  <si>
    <t>362</t>
    <phoneticPr fontId="11" type="noConversion"/>
  </si>
  <si>
    <t>366</t>
    <phoneticPr fontId="11" type="noConversion"/>
  </si>
  <si>
    <t>367</t>
    <phoneticPr fontId="11" type="noConversion"/>
  </si>
  <si>
    <r>
      <t>OPEN OFFICE</t>
    </r>
    <r>
      <rPr>
        <sz val="10"/>
        <color rgb="FF000000"/>
        <rFont val="宋体"/>
        <family val="3"/>
        <charset val="134"/>
      </rPr>
      <t>开敞办公区</t>
    </r>
    <phoneticPr fontId="11" type="noConversion"/>
  </si>
  <si>
    <r>
      <t>4P MEETING4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</si>
  <si>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</si>
  <si>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t>368</t>
    <phoneticPr fontId="11" type="noConversion"/>
  </si>
  <si>
    <t>369</t>
    <phoneticPr fontId="11" type="noConversion"/>
  </si>
  <si>
    <t>370</t>
    <phoneticPr fontId="11" type="noConversion"/>
  </si>
  <si>
    <t>N/A</t>
    <phoneticPr fontId="11" type="noConversion"/>
  </si>
  <si>
    <r>
      <t>IDF</t>
    </r>
    <r>
      <rPr>
        <sz val="10"/>
        <color rgb="FF000000"/>
        <rFont val="宋体"/>
        <family val="3"/>
        <charset val="134"/>
      </rPr>
      <t>弱电间</t>
    </r>
    <phoneticPr fontId="11" type="noConversion"/>
  </si>
  <si>
    <r>
      <t>ELEC RM</t>
    </r>
    <r>
      <rPr>
        <sz val="10"/>
        <color rgb="FF000000"/>
        <rFont val="宋体"/>
        <family val="3"/>
        <charset val="134"/>
      </rPr>
      <t>强电间</t>
    </r>
    <phoneticPr fontId="11" type="noConversion"/>
  </si>
  <si>
    <r>
      <t>SHAFT</t>
    </r>
    <r>
      <rPr>
        <sz val="10"/>
        <color rgb="FF000000"/>
        <rFont val="宋体"/>
        <family val="3"/>
        <charset val="134"/>
      </rPr>
      <t>管道井</t>
    </r>
    <phoneticPr fontId="11" type="noConversion"/>
  </si>
  <si>
    <t>371</t>
    <phoneticPr fontId="11" type="noConversion"/>
  </si>
  <si>
    <r>
      <t>MEN TOILET</t>
    </r>
    <r>
      <rPr>
        <sz val="10"/>
        <color rgb="FF000000"/>
        <rFont val="宋体"/>
        <family val="3"/>
        <charset val="134"/>
      </rPr>
      <t>男卫生间</t>
    </r>
    <phoneticPr fontId="11" type="noConversion"/>
  </si>
  <si>
    <t>372</t>
    <phoneticPr fontId="11" type="noConversion"/>
  </si>
  <si>
    <t>373</t>
    <phoneticPr fontId="11" type="noConversion"/>
  </si>
  <si>
    <t>375</t>
    <phoneticPr fontId="11" type="noConversion"/>
  </si>
  <si>
    <r>
      <t>WOMEN TOILET</t>
    </r>
    <r>
      <rPr>
        <sz val="10"/>
        <color rgb="FF000000"/>
        <rFont val="宋体"/>
        <family val="3"/>
        <charset val="134"/>
      </rPr>
      <t>女卫生间</t>
    </r>
    <phoneticPr fontId="11" type="noConversion"/>
  </si>
  <si>
    <r>
      <t>6#ELEVATOR6#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</si>
  <si>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r>
      <t>7#ELEVATOR7#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</si>
  <si>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t>379</t>
    <phoneticPr fontId="11" type="noConversion"/>
  </si>
  <si>
    <t>380</t>
    <phoneticPr fontId="11" type="noConversion"/>
  </si>
  <si>
    <t>381</t>
    <phoneticPr fontId="11" type="noConversion"/>
  </si>
  <si>
    <t>382</t>
    <phoneticPr fontId="11" type="noConversion"/>
  </si>
  <si>
    <t>385</t>
    <phoneticPr fontId="11" type="noConversion"/>
  </si>
  <si>
    <t>386</t>
    <phoneticPr fontId="11" type="noConversion"/>
  </si>
  <si>
    <t>387</t>
    <phoneticPr fontId="11" type="noConversion"/>
  </si>
  <si>
    <t>388</t>
    <phoneticPr fontId="11" type="noConversion"/>
  </si>
  <si>
    <t>389</t>
    <phoneticPr fontId="11" type="noConversion"/>
  </si>
  <si>
    <r>
      <t>11#ELEVATOR11#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</si>
  <si>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</si>
  <si>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r>
      <t>2#STAIRCASE2#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</si>
  <si>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r>
      <t>4P MEETING4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</si>
  <si>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r>
      <t>6P MEETING6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</si>
  <si>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r>
      <t>OPEN OFFICE</t>
    </r>
    <r>
      <rPr>
        <sz val="10"/>
        <color rgb="FF000000"/>
        <rFont val="宋体"/>
        <family val="3"/>
        <charset val="134"/>
      </rPr>
      <t>开敞办公区</t>
    </r>
    <phoneticPr fontId="11" type="noConversion"/>
  </si>
  <si>
    <t>F4</t>
    <phoneticPr fontId="11" type="noConversion"/>
  </si>
  <si>
    <t>F5</t>
    <phoneticPr fontId="11" type="noConversion"/>
  </si>
  <si>
    <t>391</t>
    <phoneticPr fontId="11" type="noConversion"/>
  </si>
  <si>
    <t>392</t>
    <phoneticPr fontId="11" type="noConversion"/>
  </si>
  <si>
    <t>393</t>
    <phoneticPr fontId="11" type="noConversion"/>
  </si>
  <si>
    <t>395</t>
    <phoneticPr fontId="11" type="noConversion"/>
  </si>
  <si>
    <r>
      <t>IT ROOMIT</t>
    </r>
    <r>
      <rPr>
        <sz val="10"/>
        <color rgb="FF000000"/>
        <rFont val="宋体"/>
        <family val="3"/>
        <charset val="134"/>
      </rPr>
      <t>室</t>
    </r>
    <phoneticPr fontId="11" type="noConversion"/>
  </si>
  <si>
    <r>
      <t>2P MEETING2</t>
    </r>
    <r>
      <rPr>
        <sz val="10"/>
        <color rgb="FF000000"/>
        <rFont val="宋体"/>
        <family val="3"/>
        <charset val="134"/>
      </rPr>
      <t>人会议室</t>
    </r>
    <phoneticPr fontId="11" type="noConversion"/>
  </si>
  <si>
    <r>
      <t>STUDY BOOTH</t>
    </r>
    <r>
      <rPr>
        <sz val="10"/>
        <color rgb="FF000000"/>
        <rFont val="宋体"/>
        <family val="3"/>
        <charset val="134"/>
      </rPr>
      <t>研讨室</t>
    </r>
    <phoneticPr fontId="11" type="noConversion"/>
  </si>
  <si>
    <r>
      <t>FINANCE SAFE &amp; FA PIAO RM</t>
    </r>
    <r>
      <rPr>
        <sz val="10"/>
        <color rgb="FF000000"/>
        <rFont val="宋体"/>
        <family val="3"/>
        <charset val="134"/>
      </rPr>
      <t>发票室</t>
    </r>
    <phoneticPr fontId="11" type="noConversion"/>
  </si>
  <si>
    <r>
      <t xml:space="preserve">5F </t>
    </r>
    <r>
      <rPr>
        <sz val="10"/>
        <color rgb="FF000000"/>
        <rFont val="宋体"/>
        <family val="3"/>
        <charset val="134"/>
      </rPr>
      <t>五层</t>
    </r>
    <phoneticPr fontId="11" type="noConversion"/>
  </si>
  <si>
    <t>501</t>
    <phoneticPr fontId="11" type="noConversion"/>
  </si>
  <si>
    <t>502</t>
    <phoneticPr fontId="11" type="noConversion"/>
  </si>
  <si>
    <t>503</t>
    <phoneticPr fontId="11" type="noConversion"/>
  </si>
  <si>
    <t>506</t>
    <phoneticPr fontId="11" type="noConversion"/>
  </si>
  <si>
    <r>
      <t>1#STAIRCASE1#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</si>
  <si>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F4</t>
    <phoneticPr fontId="11" type="noConversion"/>
  </si>
  <si>
    <t>F2b</t>
    <phoneticPr fontId="11" type="noConversion"/>
  </si>
  <si>
    <t>CORRIDOR走道</t>
    <phoneticPr fontId="11" type="noConversion"/>
  </si>
  <si>
    <r>
      <t>SPARE RM</t>
    </r>
    <r>
      <rPr>
        <sz val="10"/>
        <color rgb="FF000000"/>
        <rFont val="宋体"/>
        <family val="3"/>
        <charset val="134"/>
      </rPr>
      <t>预留房间</t>
    </r>
    <phoneticPr fontId="11" type="noConversion"/>
  </si>
  <si>
    <r>
      <t>SHAFT</t>
    </r>
    <r>
      <rPr>
        <sz val="10"/>
        <color rgb="FF000000"/>
        <rFont val="宋体"/>
        <family val="3"/>
        <charset val="134"/>
      </rPr>
      <t>管道井</t>
    </r>
    <phoneticPr fontId="11" type="noConversion"/>
  </si>
  <si>
    <t>507</t>
    <phoneticPr fontId="11" type="noConversion"/>
  </si>
  <si>
    <t>508</t>
    <phoneticPr fontId="11" type="noConversion"/>
  </si>
  <si>
    <t>509</t>
    <phoneticPr fontId="11" type="noConversion"/>
  </si>
  <si>
    <t>510</t>
    <phoneticPr fontId="11" type="noConversion"/>
  </si>
  <si>
    <t>525</t>
    <phoneticPr fontId="11" type="noConversion"/>
  </si>
  <si>
    <r>
      <t>MEN TOILET</t>
    </r>
    <r>
      <rPr>
        <sz val="10"/>
        <color rgb="FF000000"/>
        <rFont val="宋体"/>
        <family val="3"/>
        <charset val="134"/>
      </rPr>
      <t>男卫生间</t>
    </r>
    <phoneticPr fontId="11" type="noConversion"/>
  </si>
  <si>
    <t>F6</t>
    <phoneticPr fontId="11" type="noConversion"/>
  </si>
  <si>
    <t>F2b</t>
    <phoneticPr fontId="11" type="noConversion"/>
  </si>
  <si>
    <r>
      <t>OPEN OFFICE</t>
    </r>
    <r>
      <rPr>
        <sz val="10"/>
        <color rgb="FF000000"/>
        <rFont val="宋体"/>
        <family val="3"/>
        <charset val="134"/>
      </rPr>
      <t>开敞办公区</t>
    </r>
    <phoneticPr fontId="11" type="noConversion"/>
  </si>
  <si>
    <t>W1</t>
    <phoneticPr fontId="11" type="noConversion"/>
  </si>
  <si>
    <t>W1a</t>
    <phoneticPr fontId="11" type="noConversion"/>
  </si>
  <si>
    <t>NA</t>
    <phoneticPr fontId="11" type="noConversion"/>
  </si>
  <si>
    <t>526</t>
    <phoneticPr fontId="11" type="noConversion"/>
  </si>
  <si>
    <r>
      <t>ELEC RM</t>
    </r>
    <r>
      <rPr>
        <sz val="10"/>
        <color rgb="FF000000"/>
        <rFont val="宋体"/>
        <family val="3"/>
        <charset val="134"/>
      </rPr>
      <t>强电间</t>
    </r>
    <phoneticPr fontId="11" type="noConversion"/>
  </si>
  <si>
    <t>527</t>
    <phoneticPr fontId="11" type="noConversion"/>
  </si>
  <si>
    <t>528</t>
    <phoneticPr fontId="11" type="noConversion"/>
  </si>
  <si>
    <t>530</t>
    <phoneticPr fontId="11" type="noConversion"/>
  </si>
  <si>
    <t>531</t>
    <phoneticPr fontId="11" type="noConversion"/>
  </si>
  <si>
    <r>
      <t>SPARE RM</t>
    </r>
    <r>
      <rPr>
        <sz val="10"/>
        <color rgb="FF000000"/>
        <rFont val="宋体"/>
        <family val="3"/>
        <charset val="134"/>
      </rPr>
      <t>预留房间</t>
    </r>
    <phoneticPr fontId="11" type="noConversion"/>
  </si>
  <si>
    <r>
      <t>SHAFT</t>
    </r>
    <r>
      <rPr>
        <sz val="10"/>
        <color rgb="FF000000"/>
        <rFont val="宋体"/>
        <family val="3"/>
        <charset val="134"/>
      </rPr>
      <t>管道井</t>
    </r>
    <phoneticPr fontId="11" type="noConversion"/>
  </si>
  <si>
    <r>
      <t>11#ELEVATOR11#</t>
    </r>
    <r>
      <rPr>
        <sz val="10"/>
        <color rgb="FF000000"/>
        <rFont val="宋体"/>
        <family val="3"/>
        <charset val="134"/>
      </rPr>
      <t>电梯</t>
    </r>
    <phoneticPr fontId="11" type="noConversion"/>
  </si>
  <si>
    <t>532</t>
    <phoneticPr fontId="11" type="noConversion"/>
  </si>
  <si>
    <t>533</t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</si>
  <si>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</si>
  <si>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t>2#STAIRCASE2#楼梯间</t>
    <phoneticPr fontId="11" type="noConversion"/>
  </si>
  <si>
    <t>F4</t>
    <phoneticPr fontId="11" type="noConversion"/>
  </si>
  <si>
    <r>
      <t xml:space="preserve">RF </t>
    </r>
    <r>
      <rPr>
        <sz val="10"/>
        <color rgb="FF000000"/>
        <rFont val="宋体"/>
        <family val="3"/>
        <charset val="134"/>
      </rPr>
      <t>顶层</t>
    </r>
    <phoneticPr fontId="11" type="noConversion"/>
  </si>
  <si>
    <t>601</t>
    <phoneticPr fontId="11" type="noConversion"/>
  </si>
  <si>
    <t>602</t>
    <phoneticPr fontId="11" type="noConversion"/>
  </si>
  <si>
    <t>603</t>
    <phoneticPr fontId="11" type="noConversion"/>
  </si>
  <si>
    <r>
      <t>1#STAIRCASE1#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</si>
  <si>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r>
      <t>CORRIDOR</t>
    </r>
    <r>
      <rPr>
        <sz val="10"/>
        <color rgb="FF000000"/>
        <rFont val="宋体"/>
        <family val="3"/>
        <charset val="134"/>
      </rPr>
      <t>走道</t>
    </r>
    <phoneticPr fontId="11" type="noConversion"/>
  </si>
  <si>
    <t>F11b</t>
    <phoneticPr fontId="11" type="noConversion"/>
  </si>
  <si>
    <t>W1a</t>
    <phoneticPr fontId="11" type="noConversion"/>
  </si>
  <si>
    <r>
      <t>WATER TANK RM</t>
    </r>
    <r>
      <rPr>
        <sz val="10"/>
        <color rgb="FF000000"/>
        <rFont val="宋体"/>
        <family val="3"/>
        <charset val="134"/>
      </rPr>
      <t>高位水箱间</t>
    </r>
    <phoneticPr fontId="11" type="noConversion"/>
  </si>
  <si>
    <r>
      <t>HVAC RM</t>
    </r>
    <r>
      <rPr>
        <sz val="10"/>
        <color rgb="FF000000"/>
        <rFont val="宋体"/>
        <family val="3"/>
        <charset val="134"/>
      </rPr>
      <t>空调机房</t>
    </r>
    <phoneticPr fontId="11" type="noConversion"/>
  </si>
  <si>
    <t>NA</t>
    <phoneticPr fontId="11" type="noConversion"/>
  </si>
  <si>
    <t>W1a</t>
    <phoneticPr fontId="11" type="noConversion"/>
  </si>
  <si>
    <r>
      <t>ELEVATOR MECH. RM</t>
    </r>
    <r>
      <rPr>
        <sz val="10"/>
        <color rgb="FF000000"/>
        <rFont val="宋体"/>
        <family val="3"/>
        <charset val="134"/>
      </rPr>
      <t>电梯机房</t>
    </r>
    <phoneticPr fontId="11" type="noConversion"/>
  </si>
  <si>
    <t>F2a</t>
    <phoneticPr fontId="11" type="noConversion"/>
  </si>
  <si>
    <t>W1a</t>
    <phoneticPr fontId="11" type="noConversion"/>
  </si>
  <si>
    <r>
      <t>HVAC</t>
    </r>
    <r>
      <rPr>
        <sz val="10"/>
        <color rgb="FF000000"/>
        <rFont val="宋体"/>
        <family val="3"/>
        <charset val="134"/>
      </rPr>
      <t>空调机房</t>
    </r>
    <phoneticPr fontId="11" type="noConversion"/>
  </si>
  <si>
    <r>
      <t>SHAFT</t>
    </r>
    <r>
      <rPr>
        <sz val="10"/>
        <color rgb="FF000000"/>
        <rFont val="宋体"/>
        <family val="3"/>
        <charset val="134"/>
      </rPr>
      <t>管道井</t>
    </r>
    <phoneticPr fontId="11" type="noConversion"/>
  </si>
  <si>
    <r>
      <t>ELEVATOR MECH. RM</t>
    </r>
    <r>
      <rPr>
        <sz val="10"/>
        <color rgb="FF000000"/>
        <rFont val="宋体"/>
        <family val="3"/>
        <charset val="134"/>
      </rPr>
      <t>电梯机房</t>
    </r>
    <phoneticPr fontId="11" type="noConversion"/>
  </si>
  <si>
    <r>
      <t>DESMOKE RM</t>
    </r>
    <r>
      <rPr>
        <sz val="10"/>
        <color rgb="FF000000"/>
        <rFont val="宋体"/>
        <family val="3"/>
        <charset val="134"/>
      </rPr>
      <t>排烟机房</t>
    </r>
    <phoneticPr fontId="11" type="noConversion"/>
  </si>
  <si>
    <t>W1a</t>
    <phoneticPr fontId="11" type="noConversion"/>
  </si>
  <si>
    <t>F2a</t>
    <phoneticPr fontId="11" type="noConversion"/>
  </si>
  <si>
    <r>
      <t>2#STAIRCASE2#</t>
    </r>
    <r>
      <rPr>
        <sz val="10"/>
        <color rgb="FF000000"/>
        <rFont val="宋体"/>
        <family val="3"/>
        <charset val="134"/>
      </rPr>
      <t>楼梯间</t>
    </r>
    <phoneticPr fontId="11" type="noConversion"/>
  </si>
  <si>
    <t>C1</t>
    <phoneticPr fontId="11" type="noConversion"/>
  </si>
  <si>
    <t>C3</t>
    <phoneticPr fontId="11" type="noConversion"/>
  </si>
  <si>
    <t>NA</t>
    <phoneticPr fontId="11" type="noConversion"/>
  </si>
  <si>
    <t>S3</t>
    <phoneticPr fontId="11" type="noConversion"/>
  </si>
  <si>
    <t>W2</t>
    <phoneticPr fontId="11" type="noConversion"/>
  </si>
  <si>
    <t>C2b</t>
    <phoneticPr fontId="11" type="noConversion"/>
  </si>
  <si>
    <t>C3</t>
    <phoneticPr fontId="11" type="noConversion"/>
  </si>
  <si>
    <t>N/A</t>
    <phoneticPr fontId="11" type="noConversion"/>
  </si>
  <si>
    <t>S4</t>
    <phoneticPr fontId="11" type="noConversion"/>
  </si>
  <si>
    <t>S2</t>
    <phoneticPr fontId="11" type="noConversion"/>
  </si>
  <si>
    <t>C5</t>
    <phoneticPr fontId="11" type="noConversion"/>
  </si>
  <si>
    <t>W1b/W3b</t>
    <phoneticPr fontId="11" type="noConversion"/>
  </si>
  <si>
    <t>C3</t>
    <phoneticPr fontId="11" type="noConversion"/>
  </si>
  <si>
    <t>S4</t>
    <phoneticPr fontId="11" type="noConversion"/>
  </si>
  <si>
    <t>N/A</t>
    <phoneticPr fontId="11" type="noConversion"/>
  </si>
  <si>
    <t>C3</t>
    <phoneticPr fontId="11" type="noConversion"/>
  </si>
  <si>
    <t>NA</t>
    <phoneticPr fontId="11" type="noConversion"/>
  </si>
  <si>
    <t>N/A</t>
    <phoneticPr fontId="11" type="noConversion"/>
  </si>
  <si>
    <t>S6</t>
    <phoneticPr fontId="11" type="noConversion"/>
  </si>
  <si>
    <t>NA</t>
    <phoneticPr fontId="11" type="noConversion"/>
  </si>
  <si>
    <t xml:space="preserve">N/A </t>
    <phoneticPr fontId="11" type="noConversion"/>
  </si>
  <si>
    <t xml:space="preserve">N/A </t>
    <phoneticPr fontId="11" type="noConversion"/>
  </si>
  <si>
    <t xml:space="preserve">N/A </t>
    <phoneticPr fontId="11" type="noConversion"/>
  </si>
  <si>
    <t xml:space="preserve">N/A </t>
    <phoneticPr fontId="11" type="noConversion"/>
  </si>
  <si>
    <t xml:space="preserve">101
</t>
    <phoneticPr fontId="11" type="noConversion"/>
  </si>
  <si>
    <t>NET AREA</t>
    <phoneticPr fontId="11" type="noConversion"/>
  </si>
  <si>
    <t xml:space="preserve">W1
</t>
    <phoneticPr fontId="11" type="noConversion"/>
  </si>
  <si>
    <t xml:space="preserve">C4
</t>
    <phoneticPr fontId="11" type="noConversion"/>
  </si>
  <si>
    <t xml:space="preserve">2800
</t>
    <phoneticPr fontId="11" type="noConversion"/>
  </si>
  <si>
    <t>S1</t>
    <phoneticPr fontId="11" type="noConversion"/>
  </si>
  <si>
    <r>
      <t>F3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</si>
  <si>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t xml:space="preserve">C6
</t>
    <phoneticPr fontId="11" type="noConversion"/>
  </si>
  <si>
    <t xml:space="preserve">N/A
</t>
    <phoneticPr fontId="11" type="noConversion"/>
  </si>
  <si>
    <r>
      <t>UPS RM 1</t>
    </r>
    <r>
      <rPr>
        <sz val="11"/>
        <color rgb="FF000000"/>
        <rFont val="SimSun"/>
        <charset val="134"/>
      </rPr>
      <t xml:space="preserve"> UPS室1</t>
    </r>
    <phoneticPr fontId="11" type="noConversion"/>
  </si>
  <si>
    <t xml:space="preserve">LV SWITCH RM开关室
</t>
    <phoneticPr fontId="11" type="noConversion"/>
  </si>
  <si>
    <t xml:space="preserve">CORRIDOR走道
</t>
    <phoneticPr fontId="11" type="noConversion"/>
  </si>
  <si>
    <t xml:space="preserve">PANTRY茶水间
</t>
    <phoneticPr fontId="11" type="noConversion"/>
  </si>
  <si>
    <r>
      <t>F</t>
    </r>
    <r>
      <rPr>
        <sz val="11"/>
        <color rgb="FF000000"/>
        <rFont val="SimSun"/>
        <charset val="134"/>
      </rPr>
      <t>5</t>
    </r>
    <phoneticPr fontId="11" type="noConversion"/>
  </si>
  <si>
    <r>
      <t>F</t>
    </r>
    <r>
      <rPr>
        <sz val="11"/>
        <color rgb="FF000000"/>
        <rFont val="SimSun"/>
        <charset val="134"/>
      </rPr>
      <t>6</t>
    </r>
    <phoneticPr fontId="11" type="noConversion"/>
  </si>
  <si>
    <r>
      <t>F</t>
    </r>
    <r>
      <rPr>
        <sz val="11"/>
        <color rgb="FF000000"/>
        <rFont val="SimSun"/>
        <charset val="134"/>
      </rPr>
      <t>8</t>
    </r>
    <phoneticPr fontId="11" type="noConversion"/>
  </si>
  <si>
    <r>
      <t>F</t>
    </r>
    <r>
      <rPr>
        <sz val="11"/>
        <color rgb="FF000000"/>
        <rFont val="SimSun"/>
        <charset val="134"/>
      </rPr>
      <t>3</t>
    </r>
    <phoneticPr fontId="11" type="noConversion"/>
  </si>
  <si>
    <r>
      <t>F</t>
    </r>
    <r>
      <rPr>
        <sz val="11"/>
        <color rgb="FF000000"/>
        <rFont val="SimSun"/>
        <charset val="134"/>
      </rPr>
      <t>2</t>
    </r>
    <phoneticPr fontId="11" type="noConversion"/>
  </si>
  <si>
    <r>
      <t>F</t>
    </r>
    <r>
      <rPr>
        <sz val="11"/>
        <color rgb="FF000000"/>
        <rFont val="SimSun"/>
        <charset val="134"/>
      </rPr>
      <t>10</t>
    </r>
    <phoneticPr fontId="11" type="noConversion"/>
  </si>
  <si>
    <t xml:space="preserve">W2
</t>
    <phoneticPr fontId="11" type="noConversion"/>
  </si>
  <si>
    <t xml:space="preserve">C1
</t>
    <phoneticPr fontId="11" type="noConversion"/>
  </si>
  <si>
    <t xml:space="preserve">C5
</t>
    <phoneticPr fontId="11" type="noConversion"/>
  </si>
  <si>
    <t xml:space="preserve">3100
</t>
    <phoneticPr fontId="11" type="noConversion"/>
  </si>
  <si>
    <t xml:space="preserve">3000
</t>
    <phoneticPr fontId="11" type="noConversion"/>
  </si>
  <si>
    <r>
      <t>S</t>
    </r>
    <r>
      <rPr>
        <sz val="11"/>
        <color rgb="FF000000"/>
        <rFont val="SimSun"/>
        <charset val="134"/>
      </rPr>
      <t>6</t>
    </r>
    <phoneticPr fontId="11" type="noConversion"/>
  </si>
  <si>
    <r>
      <t>S</t>
    </r>
    <r>
      <rPr>
        <sz val="11"/>
        <color rgb="FF000000"/>
        <rFont val="SimSun"/>
        <charset val="134"/>
      </rPr>
      <t>2</t>
    </r>
    <phoneticPr fontId="11" type="noConversion"/>
  </si>
  <si>
    <r>
      <t>S</t>
    </r>
    <r>
      <rPr>
        <sz val="11"/>
        <color rgb="FF000000"/>
        <rFont val="SimSun"/>
        <charset val="134"/>
      </rPr>
      <t>1</t>
    </r>
    <phoneticPr fontId="11" type="noConversion"/>
  </si>
  <si>
    <r>
      <t>S</t>
    </r>
    <r>
      <rPr>
        <sz val="11"/>
        <color rgb="FF000000"/>
        <rFont val="SimSun"/>
        <charset val="134"/>
      </rPr>
      <t>4</t>
    </r>
    <phoneticPr fontId="11" type="noConversion"/>
  </si>
  <si>
    <r>
      <t>S</t>
    </r>
    <r>
      <rPr>
        <sz val="11"/>
        <color rgb="FF000000"/>
        <rFont val="SimSun"/>
        <charset val="134"/>
      </rPr>
      <t>3</t>
    </r>
    <phoneticPr fontId="11" type="noConversion"/>
  </si>
  <si>
    <t>走道</t>
    <phoneticPr fontId="11" type="noConversion"/>
  </si>
  <si>
    <t>门厅</t>
    <phoneticPr fontId="11" type="noConversion"/>
  </si>
  <si>
    <t xml:space="preserve">楼梯间一（东） Staircase1（East）
</t>
    <phoneticPr fontId="11" type="noConversion"/>
  </si>
  <si>
    <r>
      <rPr>
        <sz val="10"/>
        <color rgb="FF000000"/>
        <rFont val="宋体"/>
        <family val="3"/>
        <charset val="134"/>
      </rPr>
      <t>废水站化学品存储间</t>
    </r>
    <r>
      <rPr>
        <sz val="10"/>
        <color rgb="FF000000"/>
        <rFont val="Imago"/>
      </rPr>
      <t xml:space="preserve"> WWT Chemical Storage RM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Imago"/>
      </rPr>
      <t xml:space="preserve">
</t>
    </r>
    <phoneticPr fontId="11" type="noConversion"/>
  </si>
  <si>
    <t xml:space="preserve">女更衣室 Female Gowning
MEN GOWNING男更衣
</t>
    <phoneticPr fontId="11" type="noConversion"/>
  </si>
  <si>
    <t xml:space="preserve">男更衣室 Male Gowning
</t>
    <phoneticPr fontId="11" type="noConversion"/>
  </si>
  <si>
    <t xml:space="preserve">UPS室3 UPS Room 3
</t>
    <phoneticPr fontId="11" type="noConversion"/>
  </si>
  <si>
    <t xml:space="preserve">本地应急指挥响应中心 LEM RM
</t>
    <phoneticPr fontId="11" type="noConversion"/>
  </si>
  <si>
    <t xml:space="preserve">楼梯间二（西南） Staircase 2 (South-West)
</t>
    <phoneticPr fontId="11" type="noConversion"/>
  </si>
  <si>
    <t>130a</t>
    <phoneticPr fontId="11" type="noConversion"/>
  </si>
  <si>
    <t xml:space="preserve">心理咨询室 Psychological Counseling Room
</t>
    <phoneticPr fontId="11" type="noConversion"/>
  </si>
  <si>
    <t>理疗室Physical Therapy Room</t>
    <phoneticPr fontId="11" type="noConversion"/>
  </si>
  <si>
    <t>130b</t>
    <phoneticPr fontId="11" type="noConversion"/>
  </si>
  <si>
    <t xml:space="preserve">洁具间 Janitor Room
</t>
    <phoneticPr fontId="11" type="noConversion"/>
  </si>
  <si>
    <t xml:space="preserve">司机休息室 Driver
</t>
    <phoneticPr fontId="11" type="noConversion"/>
  </si>
  <si>
    <t xml:space="preserve">阀组间 Sprinkler Room
</t>
    <phoneticPr fontId="11" type="noConversion"/>
  </si>
  <si>
    <t xml:space="preserve">储藏间 Storage RM
</t>
    <phoneticPr fontId="11" type="noConversion"/>
  </si>
  <si>
    <t xml:space="preserve">空调机房 HVAC Room
</t>
    <phoneticPr fontId="11" type="noConversion"/>
  </si>
  <si>
    <t>158</t>
  </si>
  <si>
    <t>159</t>
  </si>
  <si>
    <t>160</t>
  </si>
  <si>
    <t>161</t>
  </si>
  <si>
    <t>162</t>
  </si>
  <si>
    <t>163</t>
  </si>
  <si>
    <t>165</t>
  </si>
  <si>
    <t>166</t>
  </si>
  <si>
    <t>169a</t>
    <phoneticPr fontId="18" type="noConversion"/>
  </si>
  <si>
    <t>169b</t>
    <phoneticPr fontId="18" type="noConversion"/>
  </si>
  <si>
    <t>169c</t>
    <phoneticPr fontId="18" type="noConversion"/>
  </si>
  <si>
    <t>170</t>
  </si>
  <si>
    <t>走道 Corridor</t>
  </si>
  <si>
    <t>301</t>
  </si>
  <si>
    <t>302</t>
  </si>
  <si>
    <t>357</t>
    <phoneticPr fontId="18" type="noConversion"/>
  </si>
  <si>
    <t>303</t>
  </si>
  <si>
    <t>305</t>
  </si>
  <si>
    <t>306</t>
  </si>
  <si>
    <t>307</t>
  </si>
  <si>
    <t>308</t>
  </si>
  <si>
    <t>310</t>
  </si>
  <si>
    <t>312</t>
  </si>
  <si>
    <t>313</t>
  </si>
  <si>
    <r>
      <t>办公室 Of</t>
    </r>
    <r>
      <rPr>
        <sz val="11"/>
        <color rgb="FF000000"/>
        <rFont val="SimSun"/>
        <charset val="134"/>
      </rPr>
      <t>fice</t>
    </r>
    <phoneticPr fontId="11" type="noConversion"/>
  </si>
  <si>
    <t xml:space="preserve">309 </t>
    <phoneticPr fontId="18" type="noConversion"/>
  </si>
  <si>
    <t>316</t>
  </si>
  <si>
    <r>
      <t>缓冲间 Air</t>
    </r>
    <r>
      <rPr>
        <sz val="11"/>
        <color rgb="FF000000"/>
        <rFont val="SimSun"/>
        <charset val="134"/>
      </rPr>
      <t xml:space="preserve"> Lock</t>
    </r>
    <phoneticPr fontId="11" type="noConversion"/>
  </si>
  <si>
    <t>317</t>
    <phoneticPr fontId="18" type="noConversion"/>
  </si>
  <si>
    <t>318</t>
  </si>
  <si>
    <t>319</t>
  </si>
  <si>
    <t>320</t>
  </si>
  <si>
    <t>321</t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</si>
  <si>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Minion"/>
        <family val="1"/>
      </rPr>
      <t xml:space="preserve"> Shaft</t>
    </r>
    <phoneticPr fontId="18" type="noConversion"/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</si>
  <si>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</si>
  <si>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</si>
  <si>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</si>
  <si>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</si>
  <si>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</si>
  <si>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</si>
  <si>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</si>
  <si>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</si>
  <si>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</si>
  <si>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</si>
  <si>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335</t>
  </si>
  <si>
    <t>336</t>
  </si>
  <si>
    <t>337</t>
  </si>
  <si>
    <t>339</t>
  </si>
  <si>
    <t>350</t>
  </si>
  <si>
    <t>351</t>
  </si>
  <si>
    <t>352</t>
  </si>
  <si>
    <t>353</t>
  </si>
  <si>
    <t>355</t>
  </si>
  <si>
    <t>501</t>
  </si>
  <si>
    <t>503</t>
  </si>
  <si>
    <t>505</t>
  </si>
  <si>
    <t>506</t>
    <phoneticPr fontId="18" type="noConversion"/>
  </si>
  <si>
    <t>507</t>
  </si>
  <si>
    <t>508</t>
  </si>
  <si>
    <t>508B</t>
    <phoneticPr fontId="18" type="noConversion"/>
  </si>
  <si>
    <t>509</t>
  </si>
  <si>
    <t>510</t>
  </si>
  <si>
    <t>511</t>
  </si>
  <si>
    <t>512</t>
  </si>
  <si>
    <t>513</t>
  </si>
  <si>
    <t>515</t>
  </si>
  <si>
    <t>516</t>
  </si>
  <si>
    <t>518</t>
  </si>
  <si>
    <t>519</t>
  </si>
  <si>
    <t>520</t>
  </si>
  <si>
    <t>521</t>
  </si>
  <si>
    <t>522</t>
  </si>
  <si>
    <t>523</t>
  </si>
  <si>
    <t>526</t>
  </si>
  <si>
    <t>528</t>
    <phoneticPr fontId="18" type="noConversion"/>
  </si>
  <si>
    <t>527</t>
  </si>
  <si>
    <t>529</t>
  </si>
  <si>
    <t>530</t>
  </si>
  <si>
    <t>531</t>
  </si>
  <si>
    <t>532</t>
  </si>
  <si>
    <t>533</t>
  </si>
  <si>
    <t>535</t>
  </si>
  <si>
    <t>536</t>
  </si>
  <si>
    <t>537</t>
  </si>
  <si>
    <t>538</t>
  </si>
  <si>
    <t>539</t>
  </si>
  <si>
    <t>550</t>
  </si>
  <si>
    <t>551</t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</si>
  <si>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Minion"/>
        <family val="1"/>
      </rPr>
      <t xml:space="preserve"> Corridor</t>
    </r>
    <phoneticPr fontId="18" type="noConversion"/>
  </si>
  <si>
    <r>
      <rPr>
        <sz val="11"/>
        <color theme="1"/>
        <rFont val="宋体"/>
        <family val="3"/>
        <charset val="134"/>
      </rPr>
      <t>热水房</t>
    </r>
    <r>
      <rPr>
        <sz val="11"/>
        <color theme="1"/>
        <rFont val="Minion"/>
        <family val="1"/>
      </rPr>
      <t xml:space="preserve"> Hot Water Room</t>
    </r>
    <phoneticPr fontId="18" type="noConversion"/>
  </si>
  <si>
    <t>601</t>
  </si>
  <si>
    <t>602</t>
  </si>
  <si>
    <t>603</t>
  </si>
  <si>
    <t>605</t>
  </si>
  <si>
    <t>606</t>
  </si>
  <si>
    <t>607</t>
  </si>
  <si>
    <t>608</t>
  </si>
  <si>
    <t>610</t>
  </si>
  <si>
    <t>611</t>
  </si>
  <si>
    <t>612</t>
  </si>
  <si>
    <t>613</t>
  </si>
  <si>
    <t>115A</t>
  </si>
  <si>
    <r>
      <rPr>
        <sz val="11"/>
        <color theme="1"/>
        <rFont val="宋体"/>
        <family val="3"/>
        <charset val="134"/>
      </rPr>
      <t>楼梯间二（北）</t>
    </r>
    <r>
      <rPr>
        <sz val="11"/>
        <color theme="1"/>
        <rFont val="Minion"/>
        <family val="3"/>
        <charset val="134"/>
      </rPr>
      <t xml:space="preserve"> Staircase 2 (North)</t>
    </r>
    <phoneticPr fontId="18" type="noConversion"/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</si>
  <si>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Minion"/>
        <family val="3"/>
        <charset val="134"/>
      </rPr>
      <t xml:space="preserve"> Corridor</t>
    </r>
    <phoneticPr fontId="18" type="noConversion"/>
  </si>
  <si>
    <r>
      <rPr>
        <sz val="11"/>
        <color theme="1"/>
        <rFont val="宋体"/>
        <family val="3"/>
        <charset val="134"/>
      </rPr>
      <t>污水处理</t>
    </r>
    <r>
      <rPr>
        <sz val="11"/>
        <color theme="1"/>
        <rFont val="Minion"/>
        <family val="3"/>
        <charset val="134"/>
      </rPr>
      <t xml:space="preserve"> Waste Water Treatment</t>
    </r>
    <phoneticPr fontId="18" type="noConversion"/>
  </si>
  <si>
    <r>
      <rPr>
        <sz val="11"/>
        <color theme="1"/>
        <rFont val="宋体"/>
        <family val="3"/>
        <charset val="134"/>
      </rPr>
      <t>纯蒸汽锅炉房</t>
    </r>
    <r>
      <rPr>
        <sz val="11"/>
        <color theme="1"/>
        <rFont val="Minion"/>
        <family val="3"/>
        <charset val="134"/>
      </rPr>
      <t xml:space="preserve"> Clean Steam Boiler</t>
    </r>
    <phoneticPr fontId="18" type="noConversion"/>
  </si>
  <si>
    <t>预留Reserved</t>
    <phoneticPr fontId="18" type="noConversion"/>
  </si>
  <si>
    <r>
      <rPr>
        <sz val="11"/>
        <color theme="1"/>
        <rFont val="宋体"/>
        <family val="3"/>
        <charset val="134"/>
      </rPr>
      <t>洁具间</t>
    </r>
    <r>
      <rPr>
        <sz val="11"/>
        <color theme="1"/>
        <rFont val="Minion"/>
        <family val="3"/>
        <charset val="134"/>
      </rPr>
      <t xml:space="preserve"> Janitor </t>
    </r>
    <phoneticPr fontId="18" type="noConversion"/>
  </si>
  <si>
    <r>
      <rPr>
        <sz val="11"/>
        <color theme="1"/>
        <rFont val="宋体"/>
        <family val="3"/>
        <charset val="134"/>
      </rPr>
      <t>工作间</t>
    </r>
    <r>
      <rPr>
        <sz val="11"/>
        <color theme="1"/>
        <rFont val="Minion"/>
        <family val="1"/>
      </rPr>
      <t xml:space="preserve"> Workshop</t>
    </r>
    <phoneticPr fontId="18" type="noConversion"/>
  </si>
  <si>
    <r>
      <rPr>
        <sz val="11"/>
        <color theme="1"/>
        <rFont val="宋体"/>
        <family val="3"/>
        <charset val="134"/>
      </rPr>
      <t>标签打印间</t>
    </r>
    <r>
      <rPr>
        <sz val="11"/>
        <color theme="1"/>
        <rFont val="Minion"/>
        <family val="1"/>
      </rPr>
      <t xml:space="preserve"> Label Printing Room</t>
    </r>
    <r>
      <rPr>
        <strike/>
        <sz val="11"/>
        <color theme="1"/>
        <rFont val="宋体"/>
        <family val="3"/>
        <charset val="134"/>
      </rPr>
      <t/>
    </r>
    <phoneticPr fontId="18" type="noConversion"/>
  </si>
  <si>
    <r>
      <rPr>
        <sz val="11"/>
        <color theme="1"/>
        <rFont val="宋体"/>
        <family val="3"/>
        <charset val="134"/>
      </rPr>
      <t>楼梯间一（南）</t>
    </r>
    <r>
      <rPr>
        <sz val="11"/>
        <color theme="1"/>
        <rFont val="Minion"/>
        <family val="3"/>
        <charset val="134"/>
      </rPr>
      <t xml:space="preserve"> Staircase 1 (South)</t>
    </r>
    <phoneticPr fontId="18" type="noConversion"/>
  </si>
  <si>
    <r>
      <rPr>
        <sz val="11"/>
        <color theme="1"/>
        <rFont val="宋体"/>
        <family val="3"/>
        <charset val="134"/>
      </rPr>
      <t>管井</t>
    </r>
    <r>
      <rPr>
        <sz val="11"/>
        <color theme="1"/>
        <rFont val="Minion"/>
        <family val="3"/>
        <charset val="134"/>
      </rPr>
      <t xml:space="preserve"> Pipe Shaft</t>
    </r>
    <phoneticPr fontId="18" type="noConversion"/>
  </si>
  <si>
    <r>
      <rPr>
        <sz val="11"/>
        <color theme="1"/>
        <rFont val="宋体"/>
        <family val="3"/>
        <charset val="134"/>
      </rPr>
      <t>备用楼梯间</t>
    </r>
    <r>
      <rPr>
        <sz val="11"/>
        <color theme="1"/>
        <rFont val="Minion"/>
        <family val="3"/>
        <charset val="134"/>
      </rPr>
      <t xml:space="preserve"> Future Staircase</t>
    </r>
    <phoneticPr fontId="18" type="noConversion"/>
  </si>
  <si>
    <r>
      <rPr>
        <sz val="11"/>
        <color theme="1"/>
        <rFont val="宋体"/>
        <family val="3"/>
        <charset val="134"/>
      </rPr>
      <t>校准品灌装</t>
    </r>
    <r>
      <rPr>
        <sz val="11"/>
        <color theme="1"/>
        <rFont val="Minion"/>
        <family val="3"/>
        <charset val="134"/>
      </rPr>
      <t>CNC    Calibrator Filling CNC</t>
    </r>
    <phoneticPr fontId="18" type="noConversion"/>
  </si>
  <si>
    <r>
      <rPr>
        <sz val="11"/>
        <color theme="1"/>
        <rFont val="宋体"/>
        <family val="3"/>
        <charset val="134"/>
      </rPr>
      <t>校准品</t>
    </r>
    <r>
      <rPr>
        <sz val="11"/>
        <color theme="1"/>
        <rFont val="宋体"/>
        <family val="3"/>
        <charset val="134"/>
      </rPr>
      <t>灌装</t>
    </r>
    <r>
      <rPr>
        <sz val="11"/>
        <color theme="1"/>
        <rFont val="Minion"/>
        <family val="3"/>
        <charset val="134"/>
      </rPr>
      <t xml:space="preserve"> Calibrator Filling</t>
    </r>
    <phoneticPr fontId="18" type="noConversion"/>
  </si>
  <si>
    <r>
      <rPr>
        <sz val="11"/>
        <color theme="1"/>
        <rFont val="宋体"/>
        <family val="3"/>
        <charset val="134"/>
      </rPr>
      <t>配制</t>
    </r>
    <r>
      <rPr>
        <sz val="11"/>
        <color theme="1"/>
        <rFont val="Minion"/>
        <family val="3"/>
        <charset val="134"/>
      </rPr>
      <t xml:space="preserve"> Compounding</t>
    </r>
    <phoneticPr fontId="18" type="noConversion"/>
  </si>
  <si>
    <r>
      <rPr>
        <sz val="11"/>
        <color theme="1"/>
        <rFont val="宋体"/>
        <family val="3"/>
        <charset val="134"/>
      </rPr>
      <t>中间品储存</t>
    </r>
    <r>
      <rPr>
        <sz val="11"/>
        <color theme="1"/>
        <rFont val="Minion"/>
        <family val="3"/>
        <charset val="134"/>
      </rPr>
      <t xml:space="preserve"> WIP Storage </t>
    </r>
    <phoneticPr fontId="18" type="noConversion"/>
  </si>
  <si>
    <t>在线清洗站 CIP Skid</t>
  </si>
  <si>
    <t xml:space="preserve">支持间 Support Room
</t>
    <phoneticPr fontId="18" type="noConversion"/>
  </si>
  <si>
    <t>清洗间Cleaning Area</t>
    <phoneticPr fontId="18" type="noConversion"/>
  </si>
  <si>
    <t xml:space="preserve">人员缓冲间 PAL
</t>
    <phoneticPr fontId="18" type="noConversion"/>
  </si>
  <si>
    <r>
      <rPr>
        <sz val="11"/>
        <color theme="1"/>
        <rFont val="宋体"/>
        <family val="3"/>
        <charset val="134"/>
      </rPr>
      <t>更衣</t>
    </r>
    <r>
      <rPr>
        <sz val="11"/>
        <color theme="1"/>
        <rFont val="Minion"/>
        <family val="3"/>
        <charset val="134"/>
      </rPr>
      <t xml:space="preserve"> Gowning</t>
    </r>
    <phoneticPr fontId="18" type="noConversion"/>
  </si>
  <si>
    <r>
      <rPr>
        <sz val="11"/>
        <color theme="1"/>
        <rFont val="宋体"/>
        <family val="3"/>
        <charset val="134"/>
      </rPr>
      <t>纯水间</t>
    </r>
    <r>
      <rPr>
        <sz val="11"/>
        <color theme="1"/>
        <rFont val="Minion"/>
        <family val="3"/>
        <charset val="134"/>
      </rPr>
      <t xml:space="preserve"> Purified Water</t>
    </r>
    <phoneticPr fontId="18" type="noConversion"/>
  </si>
  <si>
    <r>
      <rPr>
        <sz val="11"/>
        <color theme="1"/>
        <rFont val="宋体"/>
        <family val="3"/>
        <charset val="134"/>
      </rPr>
      <t>灌装准备</t>
    </r>
    <r>
      <rPr>
        <sz val="11"/>
        <color theme="1"/>
        <rFont val="Minion"/>
        <family val="3"/>
        <charset val="134"/>
      </rPr>
      <t xml:space="preserve"> Filling Preparation</t>
    </r>
    <phoneticPr fontId="18" type="noConversion"/>
  </si>
  <si>
    <r>
      <rPr>
        <sz val="11"/>
        <color theme="1"/>
        <rFont val="宋体"/>
        <family val="3"/>
        <charset val="134"/>
      </rPr>
      <t>中控室</t>
    </r>
    <r>
      <rPr>
        <sz val="11"/>
        <color theme="1"/>
        <rFont val="Minion"/>
        <family val="3"/>
        <charset val="134"/>
      </rPr>
      <t xml:space="preserve"> IPC </t>
    </r>
    <phoneticPr fontId="18" type="noConversion"/>
  </si>
  <si>
    <r>
      <rPr>
        <sz val="11"/>
        <color theme="1"/>
        <rFont val="宋体"/>
        <family val="3"/>
        <charset val="134"/>
      </rPr>
      <t>免疫灌装</t>
    </r>
    <r>
      <rPr>
        <sz val="11"/>
        <color theme="1"/>
        <rFont val="Minion"/>
        <family val="3"/>
        <charset val="134"/>
      </rPr>
      <t xml:space="preserve"> Elecsys Filling</t>
    </r>
    <phoneticPr fontId="18" type="noConversion"/>
  </si>
  <si>
    <r>
      <rPr>
        <sz val="11"/>
        <color theme="1"/>
        <rFont val="宋体"/>
        <family val="3"/>
        <charset val="134"/>
      </rPr>
      <t>包装车间</t>
    </r>
    <r>
      <rPr>
        <sz val="11"/>
        <color theme="1"/>
        <rFont val="Minion"/>
        <family val="1"/>
      </rPr>
      <t xml:space="preserve">Packaging Hall </t>
    </r>
    <phoneticPr fontId="18" type="noConversion"/>
  </si>
  <si>
    <t xml:space="preserve">物料缓冲间 MAL
</t>
    <phoneticPr fontId="18" type="noConversion"/>
  </si>
  <si>
    <t xml:space="preserve">清洁/消毒 2 COP/SOP 2
</t>
    <phoneticPr fontId="18" type="noConversion"/>
  </si>
  <si>
    <r>
      <rPr>
        <sz val="11"/>
        <color theme="1"/>
        <rFont val="宋体"/>
        <family val="3"/>
        <charset val="134"/>
      </rPr>
      <t>清洁</t>
    </r>
    <r>
      <rPr>
        <sz val="11"/>
        <color theme="1"/>
        <rFont val="Minion"/>
        <family val="3"/>
        <charset val="134"/>
      </rPr>
      <t xml:space="preserve">/ </t>
    </r>
    <r>
      <rPr>
        <sz val="11"/>
        <color theme="1"/>
        <rFont val="宋体"/>
        <family val="3"/>
        <charset val="134"/>
      </rPr>
      <t>消毒1</t>
    </r>
    <r>
      <rPr>
        <sz val="11"/>
        <color theme="1"/>
        <rFont val="Minion"/>
        <family val="3"/>
        <charset val="134"/>
      </rPr>
      <t xml:space="preserve"> COP SOP 1</t>
    </r>
    <phoneticPr fontId="18" type="noConversion"/>
  </si>
  <si>
    <r>
      <rPr>
        <sz val="11"/>
        <color theme="1"/>
        <rFont val="宋体"/>
        <family val="3"/>
        <charset val="134"/>
      </rPr>
      <t>消毒</t>
    </r>
    <r>
      <rPr>
        <sz val="11"/>
        <color theme="1"/>
        <rFont val="Minion"/>
        <family val="3"/>
        <charset val="134"/>
      </rPr>
      <t xml:space="preserve">  SOP</t>
    </r>
    <phoneticPr fontId="18" type="noConversion"/>
  </si>
  <si>
    <r>
      <rPr>
        <sz val="11"/>
        <color theme="1"/>
        <rFont val="宋体"/>
        <family val="3"/>
        <charset val="134"/>
      </rPr>
      <t>清洗</t>
    </r>
    <r>
      <rPr>
        <sz val="11"/>
        <color theme="1"/>
        <rFont val="Minion"/>
        <family val="3"/>
        <charset val="134"/>
      </rPr>
      <t>/</t>
    </r>
    <r>
      <rPr>
        <sz val="11"/>
        <color theme="1"/>
        <rFont val="宋体"/>
        <family val="3"/>
        <charset val="134"/>
      </rPr>
      <t>消毒间</t>
    </r>
    <r>
      <rPr>
        <sz val="11"/>
        <color theme="1"/>
        <rFont val="Minion"/>
        <family val="3"/>
        <charset val="134"/>
      </rPr>
      <t xml:space="preserve"> COP/SOP
</t>
    </r>
    <r>
      <rPr>
        <sz val="11"/>
        <color theme="1"/>
        <rFont val="宋体"/>
        <family val="3"/>
        <charset val="134"/>
      </rPr>
      <t/>
    </r>
    <phoneticPr fontId="18" type="noConversion"/>
  </si>
  <si>
    <t>物料缓冲间 MAL</t>
    <phoneticPr fontId="18" type="noConversion"/>
  </si>
  <si>
    <t xml:space="preserve">楼梯间三 Staircase 3
</t>
    <phoneticPr fontId="18" type="noConversion"/>
  </si>
  <si>
    <r>
      <rPr>
        <sz val="11"/>
        <color theme="1"/>
        <rFont val="宋体"/>
        <family val="3"/>
        <charset val="134"/>
      </rPr>
      <t>消防阀室</t>
    </r>
    <r>
      <rPr>
        <sz val="11"/>
        <color theme="1"/>
        <rFont val="Minion"/>
        <family val="3"/>
        <charset val="134"/>
      </rPr>
      <t xml:space="preserve"> Sprinkler Valve Room</t>
    </r>
    <phoneticPr fontId="18" type="noConversion"/>
  </si>
  <si>
    <t>废物缓冲间 Waste Airlock</t>
    <phoneticPr fontId="18" type="noConversion"/>
  </si>
  <si>
    <t xml:space="preserve">原辅料暂存RM Staging
</t>
    <phoneticPr fontId="18" type="noConversion"/>
  </si>
  <si>
    <t xml:space="preserve">酶配制Enzyme Compounding
</t>
    <phoneticPr fontId="18" type="noConversion"/>
  </si>
  <si>
    <t xml:space="preserve">配制/过滤 Compounding/Filtration
</t>
    <phoneticPr fontId="18" type="noConversion"/>
  </si>
  <si>
    <t xml:space="preserve">冷库Cold Storage
</t>
    <phoneticPr fontId="18" type="noConversion"/>
  </si>
  <si>
    <t xml:space="preserve">走廊 Corridor
</t>
    <phoneticPr fontId="18" type="noConversion"/>
  </si>
  <si>
    <t xml:space="preserve">灌装文档间 Filling Documentation
</t>
    <phoneticPr fontId="18" type="noConversion"/>
  </si>
  <si>
    <t xml:space="preserve">配制文档间Compounding Documentation
</t>
    <phoneticPr fontId="18" type="noConversion"/>
  </si>
  <si>
    <t xml:space="preserve">冰柜间Freezer Staging
</t>
    <phoneticPr fontId="18" type="noConversion"/>
  </si>
  <si>
    <t>活性物料配制Stock Solution Compounding</t>
    <phoneticPr fontId="18" type="noConversion"/>
  </si>
  <si>
    <t xml:space="preserve">设备/耗材储存Equipment/Consumable Storage
</t>
    <phoneticPr fontId="18" type="noConversion"/>
  </si>
  <si>
    <r>
      <rPr>
        <sz val="11"/>
        <color theme="1"/>
        <rFont val="宋体"/>
        <family val="3"/>
        <charset val="134"/>
      </rPr>
      <t>设备间</t>
    </r>
    <r>
      <rPr>
        <sz val="11"/>
        <color theme="1"/>
        <rFont val="Minion"/>
        <family val="1"/>
      </rPr>
      <t xml:space="preserve">  Technical</t>
    </r>
    <phoneticPr fontId="18" type="noConversion"/>
  </si>
  <si>
    <t>已清洁存放Cleaned Storage</t>
    <phoneticPr fontId="18" type="noConversion"/>
  </si>
  <si>
    <r>
      <rPr>
        <sz val="11"/>
        <color theme="1"/>
        <rFont val="宋体"/>
        <family val="3"/>
        <charset val="134"/>
      </rPr>
      <t>设备技术间</t>
    </r>
    <r>
      <rPr>
        <sz val="11"/>
        <color theme="1"/>
        <rFont val="Minion"/>
        <family val="3"/>
        <charset val="134"/>
      </rPr>
      <t xml:space="preserve"> Tech Room </t>
    </r>
    <phoneticPr fontId="18" type="noConversion"/>
  </si>
  <si>
    <t xml:space="preserve">清洗间 Cleaning Area
</t>
    <phoneticPr fontId="18" type="noConversion"/>
  </si>
  <si>
    <t>过滤器完整性测试 Filter Test</t>
    <phoneticPr fontId="18" type="noConversion"/>
  </si>
  <si>
    <r>
      <rPr>
        <sz val="11"/>
        <color theme="1"/>
        <rFont val="宋体"/>
        <family val="3"/>
        <charset val="134"/>
      </rPr>
      <t>称量间</t>
    </r>
    <r>
      <rPr>
        <sz val="11"/>
        <color theme="1"/>
        <rFont val="Minion"/>
        <family val="3"/>
        <charset val="134"/>
      </rPr>
      <t>2 Weighing 2</t>
    </r>
    <phoneticPr fontId="18" type="noConversion"/>
  </si>
  <si>
    <r>
      <rPr>
        <sz val="11"/>
        <color theme="1"/>
        <rFont val="宋体"/>
        <family val="3"/>
        <charset val="134"/>
      </rPr>
      <t>设备技术间</t>
    </r>
    <r>
      <rPr>
        <sz val="11"/>
        <color theme="1"/>
        <rFont val="Minion"/>
        <family val="3"/>
        <charset val="134"/>
      </rPr>
      <t xml:space="preserve"> Tech Room</t>
    </r>
    <phoneticPr fontId="18" type="noConversion"/>
  </si>
  <si>
    <r>
      <rPr>
        <sz val="11"/>
        <color theme="1"/>
        <rFont val="宋体"/>
        <family val="3"/>
        <charset val="134"/>
      </rPr>
      <t>称量间</t>
    </r>
    <r>
      <rPr>
        <sz val="11"/>
        <color theme="1"/>
        <rFont val="Minion"/>
        <family val="3"/>
        <charset val="134"/>
      </rPr>
      <t>1 Weighing 1</t>
    </r>
    <phoneticPr fontId="18" type="noConversion"/>
  </si>
  <si>
    <t>3000L 配制站3000L Compounding</t>
    <phoneticPr fontId="18" type="noConversion"/>
  </si>
  <si>
    <t xml:space="preserve">配制办公室 Compounding Office
</t>
    <phoneticPr fontId="18" type="noConversion"/>
  </si>
  <si>
    <t>灌装办公室 Filling Office</t>
    <phoneticPr fontId="18" type="noConversion"/>
  </si>
  <si>
    <r>
      <rPr>
        <sz val="11"/>
        <color theme="1"/>
        <rFont val="宋体"/>
        <family val="3"/>
        <charset val="134"/>
      </rPr>
      <t>紧急出口</t>
    </r>
    <r>
      <rPr>
        <sz val="11"/>
        <color theme="1"/>
        <rFont val="Minion"/>
        <family val="3"/>
        <charset val="134"/>
      </rPr>
      <t xml:space="preserve"> Emergency Exit
</t>
    </r>
    <phoneticPr fontId="18" type="noConversion"/>
  </si>
  <si>
    <t xml:space="preserve">物料储存间 Material Storage
</t>
    <phoneticPr fontId="18" type="noConversion"/>
  </si>
  <si>
    <r>
      <rPr>
        <sz val="11"/>
        <color theme="1"/>
        <rFont val="宋体"/>
        <family val="3"/>
        <charset val="134"/>
      </rPr>
      <t>走廊</t>
    </r>
    <r>
      <rPr>
        <sz val="11"/>
        <color theme="1"/>
        <rFont val="Minion"/>
        <family val="3"/>
        <charset val="134"/>
      </rPr>
      <t xml:space="preserve"> Corridor</t>
    </r>
    <phoneticPr fontId="18" type="noConversion"/>
  </si>
  <si>
    <t>洁具间Janitor</t>
    <phoneticPr fontId="18" type="noConversion"/>
  </si>
  <si>
    <r>
      <rPr>
        <sz val="11"/>
        <color theme="1"/>
        <rFont val="宋体"/>
        <family val="3"/>
        <charset val="134"/>
      </rPr>
      <t>化学品中间存储间</t>
    </r>
    <r>
      <rPr>
        <sz val="11"/>
        <color theme="1"/>
        <rFont val="Minion"/>
        <family val="3"/>
        <charset val="134"/>
      </rPr>
      <t xml:space="preserve"> Chemical Intermediate Storage</t>
    </r>
    <phoneticPr fontId="18" type="noConversion"/>
  </si>
  <si>
    <t>212A</t>
  </si>
  <si>
    <r>
      <rPr>
        <sz val="11"/>
        <color theme="1"/>
        <rFont val="宋体"/>
        <family val="3"/>
        <charset val="134"/>
      </rPr>
      <t>楼梯间二（北）</t>
    </r>
    <r>
      <rPr>
        <sz val="11"/>
        <color theme="1"/>
        <rFont val="Minion"/>
        <family val="1"/>
      </rPr>
      <t>Staircase 2 (North)</t>
    </r>
    <phoneticPr fontId="18" type="noConversion"/>
  </si>
  <si>
    <r>
      <rPr>
        <sz val="11"/>
        <color theme="1"/>
        <rFont val="宋体"/>
        <family val="3"/>
        <charset val="134"/>
      </rPr>
      <t xml:space="preserve">储藏室 </t>
    </r>
    <r>
      <rPr>
        <sz val="11"/>
        <color theme="1"/>
        <rFont val="Minion"/>
        <family val="3"/>
        <charset val="134"/>
      </rPr>
      <t xml:space="preserve">Storage Room </t>
    </r>
    <phoneticPr fontId="18" type="noConversion"/>
  </si>
  <si>
    <r>
      <rPr>
        <sz val="11"/>
        <color theme="1"/>
        <rFont val="宋体"/>
        <family val="3"/>
        <charset val="134"/>
      </rPr>
      <t>不间断电源室</t>
    </r>
    <r>
      <rPr>
        <sz val="11"/>
        <color theme="1"/>
        <rFont val="Minion"/>
        <family val="3"/>
        <charset val="134"/>
      </rPr>
      <t xml:space="preserve"> UPS </t>
    </r>
    <phoneticPr fontId="18" type="noConversion"/>
  </si>
  <si>
    <t>储存间 Storage Room</t>
    <phoneticPr fontId="18" type="noConversion"/>
  </si>
  <si>
    <r>
      <rPr>
        <sz val="11"/>
        <color theme="1"/>
        <rFont val="宋体"/>
        <family val="3"/>
        <charset val="134"/>
      </rPr>
      <t>人员缓冲间</t>
    </r>
    <r>
      <rPr>
        <sz val="11"/>
        <color theme="1"/>
        <rFont val="Minion"/>
        <family val="3"/>
        <charset val="134"/>
      </rPr>
      <t xml:space="preserve"> PAL
</t>
    </r>
    <phoneticPr fontId="18" type="noConversion"/>
  </si>
  <si>
    <r>
      <rPr>
        <sz val="11"/>
        <color theme="1"/>
        <rFont val="宋体"/>
        <family val="3"/>
        <charset val="134"/>
      </rPr>
      <t>弱电室</t>
    </r>
    <r>
      <rPr>
        <sz val="11"/>
        <color theme="1"/>
        <rFont val="Minion"/>
        <family val="1"/>
      </rPr>
      <t xml:space="preserve"> MDF&amp;IDF  </t>
    </r>
    <phoneticPr fontId="18" type="noConversion"/>
  </si>
  <si>
    <t xml:space="preserve">茶水间 Pentry </t>
    <phoneticPr fontId="18" type="noConversion"/>
  </si>
  <si>
    <r>
      <rPr>
        <sz val="11"/>
        <color theme="1"/>
        <rFont val="宋体"/>
        <family val="3"/>
        <charset val="134"/>
      </rPr>
      <t>维修间</t>
    </r>
    <r>
      <rPr>
        <sz val="11"/>
        <color theme="1"/>
        <rFont val="Minion"/>
        <family val="3"/>
        <charset val="134"/>
      </rPr>
      <t xml:space="preserve"> Maintenance Room</t>
    </r>
    <phoneticPr fontId="18" type="noConversion"/>
  </si>
  <si>
    <r>
      <rPr>
        <sz val="11"/>
        <color theme="1"/>
        <rFont val="宋体"/>
        <family val="3"/>
        <charset val="134"/>
      </rPr>
      <t>楼梯间一（南）</t>
    </r>
    <r>
      <rPr>
        <sz val="11"/>
        <color theme="1"/>
        <rFont val="Minion"/>
        <family val="1"/>
      </rPr>
      <t>Staircase 1 (South)</t>
    </r>
    <phoneticPr fontId="18" type="noConversion"/>
  </si>
  <si>
    <t>管井 Pipe Shaft</t>
  </si>
  <si>
    <t xml:space="preserve">预留房间 Spare Room </t>
    <phoneticPr fontId="18" type="noConversion"/>
  </si>
  <si>
    <r>
      <rPr>
        <sz val="11"/>
        <color theme="1"/>
        <rFont val="宋体"/>
        <family val="3"/>
        <charset val="134"/>
      </rPr>
      <t>配电室</t>
    </r>
    <r>
      <rPr>
        <sz val="11"/>
        <color theme="1"/>
        <rFont val="Minion"/>
        <family val="3"/>
        <charset val="134"/>
      </rPr>
      <t xml:space="preserve"> Switchroom</t>
    </r>
    <phoneticPr fontId="18" type="noConversion"/>
  </si>
  <si>
    <r>
      <rPr>
        <sz val="11"/>
        <color theme="1"/>
        <rFont val="宋体"/>
        <family val="3"/>
        <charset val="134"/>
      </rPr>
      <t>安防机房</t>
    </r>
    <r>
      <rPr>
        <sz val="11"/>
        <color theme="1"/>
        <rFont val="Minion"/>
        <family val="1"/>
      </rPr>
      <t xml:space="preserve"> Security</t>
    </r>
    <phoneticPr fontId="18" type="noConversion"/>
  </si>
  <si>
    <r>
      <rPr>
        <sz val="11"/>
        <color theme="1"/>
        <rFont val="宋体"/>
        <family val="3"/>
        <charset val="134"/>
      </rPr>
      <t>换鞋间</t>
    </r>
    <r>
      <rPr>
        <sz val="11"/>
        <color theme="1"/>
        <rFont val="Minion"/>
        <family val="3"/>
        <charset val="134"/>
      </rPr>
      <t xml:space="preserve"> (</t>
    </r>
    <r>
      <rPr>
        <sz val="11"/>
        <color theme="1"/>
        <rFont val="宋体"/>
        <family val="3"/>
        <charset val="134"/>
      </rPr>
      <t>女</t>
    </r>
    <r>
      <rPr>
        <sz val="11"/>
        <color theme="1"/>
        <rFont val="Minion"/>
        <family val="3"/>
        <charset val="134"/>
      </rPr>
      <t>) Shoe Change (Female)</t>
    </r>
    <phoneticPr fontId="18" type="noConversion"/>
  </si>
  <si>
    <t>更衣间（女）Gowning (Female)</t>
    <phoneticPr fontId="18" type="noConversion"/>
  </si>
  <si>
    <t>换鞋间 (男) Shoe Change (Male)</t>
    <phoneticPr fontId="18" type="noConversion"/>
  </si>
  <si>
    <t>更衣间（男）
Gowning (Male)</t>
    <phoneticPr fontId="18" type="noConversion"/>
  </si>
  <si>
    <r>
      <rPr>
        <sz val="11"/>
        <color theme="1"/>
        <rFont val="宋体"/>
        <family val="3"/>
        <charset val="134"/>
      </rPr>
      <t>楼梯间三</t>
    </r>
    <r>
      <rPr>
        <sz val="11"/>
        <color theme="1"/>
        <rFont val="Minion"/>
        <family val="3"/>
        <charset val="134"/>
      </rPr>
      <t xml:space="preserve"> Staircase 3</t>
    </r>
    <phoneticPr fontId="18" type="noConversion"/>
  </si>
  <si>
    <t xml:space="preserve">访客更衣间Visitor Gowning
</t>
    <phoneticPr fontId="18" type="noConversion"/>
  </si>
  <si>
    <r>
      <rPr>
        <sz val="11"/>
        <color theme="1"/>
        <rFont val="宋体"/>
        <family val="3"/>
        <charset val="134"/>
      </rPr>
      <t>女卫生间</t>
    </r>
    <r>
      <rPr>
        <sz val="11"/>
        <color theme="1"/>
        <rFont val="Minion"/>
        <family val="3"/>
        <charset val="134"/>
      </rPr>
      <t xml:space="preserve"> Female Toilet </t>
    </r>
    <phoneticPr fontId="18" type="noConversion"/>
  </si>
  <si>
    <r>
      <rPr>
        <sz val="11"/>
        <color theme="1"/>
        <rFont val="宋体"/>
        <family val="3"/>
        <charset val="134"/>
      </rPr>
      <t>男卫生间</t>
    </r>
    <r>
      <rPr>
        <sz val="11"/>
        <color theme="1"/>
        <rFont val="Minion"/>
        <family val="3"/>
        <charset val="134"/>
      </rPr>
      <t xml:space="preserve"> Male Toilet </t>
    </r>
    <phoneticPr fontId="18" type="noConversion"/>
  </si>
  <si>
    <t>311(A)</t>
  </si>
  <si>
    <t>315A</t>
  </si>
  <si>
    <t xml:space="preserve">热水机房 Hot Water </t>
  </si>
  <si>
    <t>排烟机房 Desmoke</t>
  </si>
  <si>
    <t xml:space="preserve">空调机房 HVAC </t>
  </si>
  <si>
    <r>
      <rPr>
        <sz val="11"/>
        <color theme="1"/>
        <rFont val="宋体"/>
        <family val="3"/>
        <charset val="134"/>
      </rPr>
      <t>空调机房</t>
    </r>
    <r>
      <rPr>
        <sz val="11"/>
        <color theme="1"/>
        <rFont val="Minion"/>
        <family val="3"/>
        <charset val="134"/>
      </rPr>
      <t xml:space="preserve"> HVAC </t>
    </r>
    <phoneticPr fontId="18" type="noConversion"/>
  </si>
  <si>
    <r>
      <rPr>
        <sz val="11"/>
        <color theme="1"/>
        <rFont val="宋体"/>
        <family val="3"/>
        <charset val="134"/>
      </rPr>
      <t>电梯前室</t>
    </r>
    <r>
      <rPr>
        <sz val="11"/>
        <color theme="1"/>
        <rFont val="Minion"/>
        <family val="3"/>
        <charset val="134"/>
      </rPr>
      <t xml:space="preserve"> Elevator Lobby</t>
    </r>
    <phoneticPr fontId="18" type="noConversion"/>
  </si>
  <si>
    <t xml:space="preserve">中水间 Reuse Water </t>
  </si>
  <si>
    <r>
      <rPr>
        <sz val="11"/>
        <color theme="1"/>
        <rFont val="宋体"/>
        <family val="3"/>
        <charset val="134"/>
      </rPr>
      <t>热水机房</t>
    </r>
    <r>
      <rPr>
        <sz val="11"/>
        <color theme="1"/>
        <rFont val="Minion"/>
        <family val="3"/>
        <charset val="134"/>
      </rPr>
      <t xml:space="preserve"> Hot Water </t>
    </r>
    <phoneticPr fontId="18" type="noConversion"/>
  </si>
  <si>
    <t>前室 Lobby</t>
  </si>
  <si>
    <r>
      <rPr>
        <sz val="11"/>
        <color theme="1"/>
        <rFont val="宋体"/>
        <family val="3"/>
        <charset val="134"/>
      </rPr>
      <t>管井</t>
    </r>
    <r>
      <rPr>
        <sz val="11"/>
        <color theme="1"/>
        <rFont val="Minion"/>
        <family val="1"/>
      </rPr>
      <t xml:space="preserve"> Pipe Shaft</t>
    </r>
    <phoneticPr fontId="18" type="noConversion"/>
  </si>
  <si>
    <r>
      <t>1</t>
    </r>
    <r>
      <rPr>
        <sz val="11"/>
        <color rgb="FF000000"/>
        <rFont val="SimSun"/>
        <charset val="134"/>
      </rPr>
      <t>F</t>
    </r>
    <phoneticPr fontId="11" type="noConversion"/>
  </si>
  <si>
    <r>
      <rPr>
        <sz val="11"/>
        <color theme="1"/>
        <rFont val="宋体"/>
        <family val="3"/>
        <charset val="134"/>
      </rPr>
      <t>楼梯间四（东南）</t>
    </r>
    <r>
      <rPr>
        <sz val="11"/>
        <color theme="1"/>
        <rFont val="Minion"/>
        <family val="1"/>
      </rPr>
      <t xml:space="preserve"> Staircase 4 (South-East)</t>
    </r>
    <phoneticPr fontId="18" type="noConversion"/>
  </si>
  <si>
    <r>
      <rPr>
        <sz val="11"/>
        <color theme="1"/>
        <rFont val="宋体"/>
        <family val="3"/>
        <charset val="134"/>
      </rPr>
      <t>楼梯间一（西北）</t>
    </r>
    <r>
      <rPr>
        <sz val="11"/>
        <color theme="1"/>
        <rFont val="Minion"/>
        <family val="1"/>
      </rPr>
      <t xml:space="preserve"> Staircase 1 (North-West)</t>
    </r>
    <phoneticPr fontId="18" type="noConversion"/>
  </si>
  <si>
    <r>
      <rPr>
        <sz val="11"/>
        <color theme="1"/>
        <rFont val="宋体"/>
        <family val="3"/>
        <charset val="134"/>
      </rPr>
      <t>楼梯间二（北）</t>
    </r>
    <r>
      <rPr>
        <sz val="11"/>
        <color theme="1"/>
        <rFont val="Minion"/>
        <family val="1"/>
      </rPr>
      <t xml:space="preserve"> Staircase 2  (North)</t>
    </r>
    <phoneticPr fontId="18" type="noConversion"/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</si>
  <si>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</si>
  <si>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</si>
  <si>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</si>
  <si>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</si>
  <si>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</si>
  <si>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</si>
  <si>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</si>
  <si>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</si>
  <si>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</si>
  <si>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</si>
  <si>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216</t>
  </si>
  <si>
    <t>217</t>
  </si>
  <si>
    <t>218</t>
  </si>
  <si>
    <t>219</t>
  </si>
  <si>
    <t>219A</t>
  </si>
  <si>
    <t>220</t>
  </si>
  <si>
    <t>221</t>
  </si>
  <si>
    <t>222</t>
  </si>
  <si>
    <t>225</t>
  </si>
  <si>
    <t>225A</t>
  </si>
  <si>
    <t>226</t>
  </si>
  <si>
    <t>228</t>
  </si>
  <si>
    <t>229</t>
  </si>
  <si>
    <t>230</t>
  </si>
  <si>
    <t>231</t>
  </si>
  <si>
    <t>236</t>
  </si>
  <si>
    <t>237</t>
  </si>
  <si>
    <t>238</t>
  </si>
  <si>
    <t>239</t>
  </si>
  <si>
    <t>250</t>
  </si>
  <si>
    <t>251</t>
  </si>
  <si>
    <t>252</t>
  </si>
  <si>
    <t>311</t>
  </si>
  <si>
    <r>
      <rPr>
        <sz val="11"/>
        <color theme="1"/>
        <rFont val="宋体"/>
        <family val="3"/>
        <charset val="134"/>
      </rPr>
      <t>男卫</t>
    </r>
    <r>
      <rPr>
        <sz val="11"/>
        <color theme="1"/>
        <rFont val="Calibri"/>
        <family val="2"/>
      </rPr>
      <t xml:space="preserve"> Male Toilet</t>
    </r>
    <phoneticPr fontId="18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</si>
  <si>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Cambria"/>
        <family val="1"/>
      </rPr>
      <t xml:space="preserve"> Pipe Shaft</t>
    </r>
    <phoneticPr fontId="18" type="noConversion"/>
  </si>
  <si>
    <r>
      <rPr>
        <sz val="11"/>
        <color theme="1"/>
        <rFont val="宋体"/>
        <family val="3"/>
        <charset val="134"/>
      </rPr>
      <t>女卫</t>
    </r>
    <r>
      <rPr>
        <sz val="11"/>
        <color theme="1"/>
        <rFont val="Calibri"/>
        <family val="2"/>
      </rPr>
      <t xml:space="preserve"> Female Toilet</t>
    </r>
    <phoneticPr fontId="18" type="noConversion"/>
  </si>
  <si>
    <t>茶水间 Pantry</t>
    <phoneticPr fontId="18" type="noConversion"/>
  </si>
  <si>
    <r>
      <rPr>
        <sz val="11"/>
        <color theme="1"/>
        <rFont val="宋体"/>
        <family val="3"/>
        <charset val="134"/>
      </rPr>
      <t>工作间</t>
    </r>
    <r>
      <rPr>
        <sz val="11"/>
        <color theme="1"/>
        <rFont val="Calibri"/>
        <family val="2"/>
      </rPr>
      <t xml:space="preserve"> Work Shop</t>
    </r>
    <phoneticPr fontId="18" type="noConversion"/>
  </si>
  <si>
    <r>
      <rPr>
        <sz val="11"/>
        <color theme="1"/>
        <rFont val="宋体"/>
        <family val="3"/>
        <charset val="134"/>
      </rPr>
      <t>热水间</t>
    </r>
    <r>
      <rPr>
        <sz val="11"/>
        <color theme="1"/>
        <rFont val="Minion"/>
        <family val="1"/>
      </rPr>
      <t xml:space="preserve"> Hot Water Room</t>
    </r>
    <phoneticPr fontId="18" type="noConversion"/>
  </si>
  <si>
    <r>
      <rPr>
        <sz val="11"/>
        <color theme="1"/>
        <rFont val="宋体"/>
        <family val="3"/>
        <charset val="134"/>
      </rPr>
      <t>排烟机房</t>
    </r>
    <r>
      <rPr>
        <sz val="11"/>
        <color theme="1"/>
        <rFont val="Minion"/>
        <family val="1"/>
      </rPr>
      <t>2 Desmoke Room 2</t>
    </r>
    <phoneticPr fontId="18" type="noConversion"/>
  </si>
  <si>
    <r>
      <rPr>
        <sz val="11"/>
        <color theme="1"/>
        <rFont val="宋体"/>
        <family val="3"/>
        <charset val="134"/>
      </rPr>
      <t>空调机房</t>
    </r>
    <r>
      <rPr>
        <sz val="11"/>
        <color theme="1"/>
        <rFont val="Minion"/>
        <family val="1"/>
      </rPr>
      <t xml:space="preserve"> HVAC </t>
    </r>
    <phoneticPr fontId="18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</si>
  <si>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Minion"/>
        <family val="1"/>
      </rPr>
      <t xml:space="preserve"> Pipe Shaft</t>
    </r>
    <phoneticPr fontId="18" type="noConversion"/>
  </si>
  <si>
    <r>
      <rPr>
        <sz val="11"/>
        <color theme="1"/>
        <rFont val="宋体"/>
        <family val="3"/>
        <charset val="134"/>
      </rPr>
      <t>零下</t>
    </r>
    <r>
      <rPr>
        <sz val="11"/>
        <color theme="1"/>
        <rFont val="Minion"/>
        <family val="1"/>
      </rPr>
      <t>80</t>
    </r>
    <r>
      <rPr>
        <sz val="11"/>
        <color theme="1"/>
        <rFont val="宋体"/>
        <family val="3"/>
        <charset val="134"/>
      </rPr>
      <t>℃冷冻储存间</t>
    </r>
    <r>
      <rPr>
        <sz val="11"/>
        <color theme="1"/>
        <rFont val="Minion"/>
        <family val="1"/>
      </rPr>
      <t xml:space="preserve"> -80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 xml:space="preserve"> Freeze Storage(Class C2)</t>
    </r>
    <phoneticPr fontId="18" type="noConversion"/>
  </si>
  <si>
    <r>
      <rPr>
        <sz val="11"/>
        <color theme="1"/>
        <rFont val="宋体"/>
        <family val="3"/>
        <charset val="134"/>
      </rPr>
      <t>冷库</t>
    </r>
    <r>
      <rPr>
        <sz val="11"/>
        <color theme="1"/>
        <rFont val="Minion"/>
        <family val="1"/>
      </rPr>
      <t xml:space="preserve">2 </t>
    </r>
    <r>
      <rPr>
        <sz val="11"/>
        <color theme="1"/>
        <rFont val="宋体"/>
        <family val="3"/>
        <charset val="134"/>
      </rPr>
      <t>（丙类二项）</t>
    </r>
    <r>
      <rPr>
        <sz val="11"/>
        <color theme="1"/>
        <rFont val="Minion"/>
        <family val="1"/>
      </rPr>
      <t>Cold Room 2 (Class C2)</t>
    </r>
    <phoneticPr fontId="18" type="noConversion"/>
  </si>
  <si>
    <r>
      <rPr>
        <sz val="11"/>
        <color theme="1"/>
        <rFont val="宋体"/>
        <family val="3"/>
        <charset val="134"/>
      </rPr>
      <t>冷库</t>
    </r>
    <r>
      <rPr>
        <sz val="11"/>
        <color theme="1"/>
        <rFont val="Minion"/>
        <family val="1"/>
      </rPr>
      <t>1</t>
    </r>
    <r>
      <rPr>
        <sz val="11"/>
        <color theme="1"/>
        <rFont val="宋体"/>
        <family val="3"/>
        <charset val="134"/>
      </rPr>
      <t>（丙类二项）</t>
    </r>
    <r>
      <rPr>
        <sz val="11"/>
        <color theme="1"/>
        <rFont val="Minion"/>
        <family val="1"/>
      </rPr>
      <t>Cold Room 1 (Class C2)</t>
    </r>
    <phoneticPr fontId="18" type="noConversion"/>
  </si>
  <si>
    <r>
      <rPr>
        <sz val="11"/>
        <rFont val="宋体"/>
        <family val="3"/>
        <charset val="134"/>
      </rPr>
      <t>预冷却</t>
    </r>
    <r>
      <rPr>
        <sz val="11"/>
        <rFont val="Minion"/>
        <family val="1"/>
      </rPr>
      <t xml:space="preserve"> Pre Cooling</t>
    </r>
    <phoneticPr fontId="18" type="noConversion"/>
  </si>
  <si>
    <r>
      <rPr>
        <sz val="11"/>
        <color theme="1"/>
        <rFont val="宋体"/>
        <family val="3"/>
        <charset val="134"/>
      </rPr>
      <t>零下</t>
    </r>
    <r>
      <rPr>
        <sz val="11"/>
        <color theme="1"/>
        <rFont val="Minion"/>
        <family val="1"/>
      </rPr>
      <t>20</t>
    </r>
    <r>
      <rPr>
        <sz val="11"/>
        <color theme="1"/>
        <rFont val="宋体"/>
        <family val="3"/>
        <charset val="134"/>
      </rPr>
      <t>℃冷冻储存间</t>
    </r>
    <r>
      <rPr>
        <sz val="11"/>
        <color theme="1"/>
        <rFont val="Minion"/>
        <family val="1"/>
      </rPr>
      <t xml:space="preserve"> -20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 xml:space="preserve"> Freeze Storage</t>
    </r>
    <phoneticPr fontId="18" type="noConversion"/>
  </si>
  <si>
    <t>弱电间 IDF Room</t>
  </si>
  <si>
    <r>
      <rPr>
        <sz val="11"/>
        <color theme="1"/>
        <rFont val="宋体"/>
        <family val="3"/>
        <charset val="134"/>
      </rPr>
      <t>冷冻室</t>
    </r>
    <r>
      <rPr>
        <sz val="11"/>
        <color theme="1"/>
        <rFont val="Minion"/>
        <family val="1"/>
      </rPr>
      <t xml:space="preserve"> Chiller Room</t>
    </r>
    <phoneticPr fontId="18" type="noConversion"/>
  </si>
  <si>
    <r>
      <rPr>
        <sz val="11"/>
        <color theme="1"/>
        <rFont val="宋体"/>
        <family val="3"/>
        <charset val="134"/>
      </rPr>
      <t>货架储存间</t>
    </r>
    <r>
      <rPr>
        <sz val="11"/>
        <color theme="1"/>
        <rFont val="Minion"/>
        <family val="1"/>
      </rPr>
      <t xml:space="preserve"> 3</t>
    </r>
    <r>
      <rPr>
        <sz val="11"/>
        <color theme="1"/>
        <rFont val="宋体"/>
        <family val="3"/>
        <charset val="134"/>
      </rPr>
      <t>（丙类二项）</t>
    </r>
    <r>
      <rPr>
        <sz val="11"/>
        <color theme="1"/>
        <rFont val="Minion"/>
        <family val="1"/>
      </rPr>
      <t>Shelf  Storage 3(Class C2)</t>
    </r>
    <phoneticPr fontId="18" type="noConversion"/>
  </si>
  <si>
    <r>
      <rPr>
        <sz val="11"/>
        <color theme="1"/>
        <rFont val="宋体"/>
        <family val="3"/>
        <charset val="134"/>
      </rPr>
      <t>货架储存间</t>
    </r>
    <r>
      <rPr>
        <sz val="11"/>
        <color theme="1"/>
        <rFont val="Minion"/>
        <family val="1"/>
      </rPr>
      <t xml:space="preserve"> 1</t>
    </r>
    <r>
      <rPr>
        <sz val="11"/>
        <color theme="1"/>
        <rFont val="宋体"/>
        <family val="3"/>
        <charset val="134"/>
      </rPr>
      <t>（丙类二项）</t>
    </r>
    <r>
      <rPr>
        <sz val="11"/>
        <color theme="1"/>
        <rFont val="Minion"/>
        <family val="1"/>
      </rPr>
      <t>Shelf  Storage 1(Class C2)</t>
    </r>
    <phoneticPr fontId="18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</si>
  <si>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Calibri"/>
        <family val="2"/>
      </rPr>
      <t xml:space="preserve"> Pipe Shaft</t>
    </r>
    <phoneticPr fontId="18" type="noConversion"/>
  </si>
  <si>
    <r>
      <rPr>
        <sz val="11"/>
        <color theme="1"/>
        <rFont val="宋体"/>
        <family val="3"/>
        <charset val="134"/>
      </rPr>
      <t>储藏间</t>
    </r>
    <r>
      <rPr>
        <sz val="11"/>
        <color theme="1"/>
        <rFont val="Calibri"/>
        <family val="2"/>
      </rPr>
      <t>1 Storage 1</t>
    </r>
    <phoneticPr fontId="18" type="noConversion"/>
  </si>
  <si>
    <r>
      <rPr>
        <sz val="11"/>
        <color theme="1"/>
        <rFont val="宋体"/>
        <family val="3"/>
        <charset val="134"/>
      </rPr>
      <t>储藏间</t>
    </r>
    <r>
      <rPr>
        <sz val="11"/>
        <color theme="1"/>
        <rFont val="Calibri"/>
        <family val="2"/>
      </rPr>
      <t>2 Storage 2</t>
    </r>
    <phoneticPr fontId="18" type="noConversion"/>
  </si>
  <si>
    <r>
      <t xml:space="preserve">走道 </t>
    </r>
    <r>
      <rPr>
        <sz val="11"/>
        <color theme="1"/>
        <rFont val="Minion"/>
        <family val="1"/>
      </rPr>
      <t>Corridor</t>
    </r>
    <phoneticPr fontId="18" type="noConversion"/>
  </si>
  <si>
    <t>UPS室 UPS Room</t>
  </si>
  <si>
    <r>
      <rPr>
        <sz val="11"/>
        <color theme="1"/>
        <rFont val="宋体"/>
        <family val="3"/>
        <charset val="134"/>
      </rPr>
      <t>强电间</t>
    </r>
    <r>
      <rPr>
        <sz val="11"/>
        <color theme="1"/>
        <rFont val="Minion"/>
        <family val="1"/>
      </rPr>
      <t xml:space="preserve"> ELEC Room</t>
    </r>
    <phoneticPr fontId="18" type="noConversion"/>
  </si>
  <si>
    <r>
      <rPr>
        <sz val="11"/>
        <color theme="1"/>
        <rFont val="宋体"/>
        <family val="3"/>
        <charset val="134"/>
      </rPr>
      <t>预留</t>
    </r>
    <r>
      <rPr>
        <sz val="11"/>
        <color theme="1"/>
        <rFont val="Minion"/>
        <family val="1"/>
      </rPr>
      <t xml:space="preserve"> MEP</t>
    </r>
    <r>
      <rPr>
        <sz val="11"/>
        <color theme="1"/>
        <rFont val="宋体"/>
        <family val="3"/>
        <charset val="134"/>
      </rPr>
      <t>间</t>
    </r>
    <r>
      <rPr>
        <sz val="11"/>
        <color theme="1"/>
        <rFont val="Minion"/>
        <family val="1"/>
      </rPr>
      <t xml:space="preserve"> Future MEP Room</t>
    </r>
    <phoneticPr fontId="18" type="noConversion"/>
  </si>
  <si>
    <r>
      <rPr>
        <sz val="11"/>
        <color theme="1"/>
        <rFont val="宋体"/>
        <family val="3"/>
        <charset val="134"/>
      </rPr>
      <t>弱电间</t>
    </r>
    <r>
      <rPr>
        <sz val="11"/>
        <color theme="1"/>
        <rFont val="Minion"/>
        <family val="1"/>
      </rPr>
      <t xml:space="preserve"> MDF&amp;IDF Room</t>
    </r>
    <phoneticPr fontId="18" type="noConversion"/>
  </si>
  <si>
    <r>
      <rPr>
        <sz val="11"/>
        <color theme="1"/>
        <rFont val="宋体"/>
        <family val="3"/>
        <charset val="134"/>
      </rPr>
      <t>排烟机房</t>
    </r>
    <r>
      <rPr>
        <sz val="11"/>
        <color theme="1"/>
        <rFont val="Minion"/>
        <family val="1"/>
      </rPr>
      <t xml:space="preserve"> 1 Desmoke Room 1</t>
    </r>
    <phoneticPr fontId="18" type="noConversion"/>
  </si>
  <si>
    <r>
      <rPr>
        <sz val="11"/>
        <color theme="1"/>
        <rFont val="宋体"/>
        <family val="3"/>
        <charset val="134"/>
      </rPr>
      <t>连廊</t>
    </r>
    <r>
      <rPr>
        <sz val="11"/>
        <color theme="1"/>
        <rFont val="Minion"/>
        <family val="1"/>
      </rPr>
      <t xml:space="preserve"> Link Bridge</t>
    </r>
    <phoneticPr fontId="18" type="noConversion"/>
  </si>
  <si>
    <r>
      <rPr>
        <sz val="11"/>
        <color theme="1"/>
        <rFont val="宋体"/>
        <family val="3"/>
        <charset val="134"/>
      </rPr>
      <t>排烟机房</t>
    </r>
    <r>
      <rPr>
        <sz val="11"/>
        <color theme="1"/>
        <rFont val="Minion"/>
        <family val="1"/>
      </rPr>
      <t>3 Desmoke Room 3</t>
    </r>
    <phoneticPr fontId="18" type="noConversion"/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</si>
  <si>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Calibri"/>
        <family val="2"/>
      </rPr>
      <t xml:space="preserve"> Corridor</t>
    </r>
    <phoneticPr fontId="18" type="noConversion"/>
  </si>
  <si>
    <r>
      <rPr>
        <sz val="11"/>
        <color theme="1"/>
        <rFont val="宋体"/>
        <family val="3"/>
        <charset val="134"/>
      </rPr>
      <t>堆存区（</t>
    </r>
    <r>
      <rPr>
        <sz val="11"/>
        <color theme="1"/>
        <rFont val="Minion"/>
        <family val="1"/>
      </rPr>
      <t>C2</t>
    </r>
    <r>
      <rPr>
        <sz val="11"/>
        <color theme="1"/>
        <rFont val="宋体"/>
        <family val="3"/>
        <charset val="134"/>
      </rPr>
      <t>级）</t>
    </r>
    <r>
      <rPr>
        <sz val="11"/>
        <color theme="1"/>
        <rFont val="Minion"/>
        <family val="1"/>
      </rPr>
      <t xml:space="preserve"> Block Storage (Class C2)</t>
    </r>
    <phoneticPr fontId="18" type="noConversion"/>
  </si>
  <si>
    <r>
      <rPr>
        <sz val="11"/>
        <color theme="1"/>
        <rFont val="宋体"/>
        <family val="3"/>
        <charset val="134"/>
      </rPr>
      <t>排烟机房</t>
    </r>
    <r>
      <rPr>
        <sz val="11"/>
        <color theme="1"/>
        <rFont val="Minion"/>
        <family val="1"/>
      </rPr>
      <t xml:space="preserve"> Desmoke Room </t>
    </r>
    <phoneticPr fontId="18" type="noConversion"/>
  </si>
  <si>
    <t>2F-2#电梯 2F-2#Elevator</t>
    <phoneticPr fontId="18" type="noConversion"/>
  </si>
  <si>
    <t>2F-3#电梯 2F-3#Elevator</t>
    <phoneticPr fontId="18" type="noConversion"/>
  </si>
  <si>
    <r>
      <t>2</t>
    </r>
    <r>
      <rPr>
        <sz val="11"/>
        <color rgb="FF000000"/>
        <rFont val="SimSun"/>
        <charset val="134"/>
      </rPr>
      <t>F</t>
    </r>
    <phoneticPr fontId="11" type="noConversion"/>
  </si>
  <si>
    <r>
      <t>3</t>
    </r>
    <r>
      <rPr>
        <sz val="11"/>
        <color rgb="FF000000"/>
        <rFont val="SimSun"/>
        <charset val="134"/>
      </rPr>
      <t>F</t>
    </r>
    <phoneticPr fontId="11" type="noConversion"/>
  </si>
  <si>
    <r>
      <rPr>
        <sz val="11"/>
        <color theme="1"/>
        <rFont val="宋体"/>
        <family val="3"/>
        <charset val="134"/>
      </rPr>
      <t>楼梯间</t>
    </r>
    <r>
      <rPr>
        <sz val="11"/>
        <color theme="1"/>
        <rFont val="Minion"/>
        <family val="1"/>
      </rPr>
      <t xml:space="preserve"> Staircase</t>
    </r>
    <phoneticPr fontId="18" type="noConversion"/>
  </si>
  <si>
    <r>
      <rPr>
        <sz val="11"/>
        <color theme="1"/>
        <rFont val="宋体"/>
        <family val="3"/>
        <charset val="134"/>
      </rPr>
      <t>配电室</t>
    </r>
    <r>
      <rPr>
        <sz val="11"/>
        <color theme="1"/>
        <rFont val="Minion"/>
        <family val="1"/>
      </rPr>
      <t xml:space="preserve"> ELEC Room</t>
    </r>
    <phoneticPr fontId="18" type="noConversion"/>
  </si>
  <si>
    <r>
      <t>UPS</t>
    </r>
    <r>
      <rPr>
        <sz val="11"/>
        <color theme="1"/>
        <rFont val="宋体"/>
        <family val="3"/>
        <charset val="134"/>
      </rPr>
      <t>室</t>
    </r>
    <r>
      <rPr>
        <sz val="11"/>
        <color theme="1"/>
        <rFont val="Minion"/>
        <family val="1"/>
      </rPr>
      <t xml:space="preserve"> UPS Room</t>
    </r>
    <phoneticPr fontId="18" type="noConversion"/>
  </si>
  <si>
    <r>
      <rPr>
        <sz val="11"/>
        <color theme="1"/>
        <rFont val="宋体"/>
        <family val="3"/>
        <charset val="134"/>
      </rPr>
      <t>洗涤塔间</t>
    </r>
    <r>
      <rPr>
        <sz val="11"/>
        <color theme="1"/>
        <rFont val="Minion"/>
        <family val="1"/>
      </rPr>
      <t xml:space="preserve"> Scrubber</t>
    </r>
    <phoneticPr fontId="18" type="noConversion"/>
  </si>
  <si>
    <r>
      <rPr>
        <sz val="11"/>
        <color theme="1"/>
        <rFont val="宋体"/>
        <family val="3"/>
        <charset val="134"/>
      </rPr>
      <t>泵房</t>
    </r>
    <r>
      <rPr>
        <sz val="11"/>
        <color theme="1"/>
        <rFont val="Minion"/>
        <family val="1"/>
      </rPr>
      <t xml:space="preserve"> Pump Room</t>
    </r>
    <phoneticPr fontId="18" type="noConversion"/>
  </si>
  <si>
    <r>
      <rPr>
        <sz val="11"/>
        <color theme="1"/>
        <rFont val="宋体"/>
        <family val="3"/>
        <charset val="134"/>
      </rPr>
      <t>前室</t>
    </r>
    <r>
      <rPr>
        <sz val="11"/>
        <color theme="1"/>
        <rFont val="Minion"/>
        <family val="1"/>
      </rPr>
      <t xml:space="preserve"> Lobby</t>
    </r>
    <phoneticPr fontId="18" type="noConversion"/>
  </si>
  <si>
    <r>
      <rPr>
        <sz val="11"/>
        <color theme="1"/>
        <rFont val="宋体"/>
        <family val="3"/>
        <charset val="134"/>
      </rPr>
      <t>设备间</t>
    </r>
    <r>
      <rPr>
        <sz val="11"/>
        <color theme="1"/>
        <rFont val="Minion"/>
        <family val="1"/>
      </rPr>
      <t xml:space="preserve"> Mechanical Room</t>
    </r>
    <phoneticPr fontId="18" type="noConversion"/>
  </si>
  <si>
    <r>
      <rPr>
        <sz val="11"/>
        <color theme="1"/>
        <rFont val="Calibri"/>
        <family val="2"/>
      </rPr>
      <t>泵房</t>
    </r>
    <r>
      <rPr>
        <sz val="11"/>
        <color theme="1"/>
        <rFont val="Minion"/>
        <family val="1"/>
      </rPr>
      <t xml:space="preserve"> Pump Room</t>
    </r>
  </si>
  <si>
    <r>
      <rPr>
        <sz val="11"/>
        <color theme="1"/>
        <rFont val="宋体"/>
        <family val="3"/>
        <charset val="134"/>
      </rPr>
      <t>楼梯间</t>
    </r>
    <r>
      <rPr>
        <sz val="11"/>
        <color theme="1"/>
        <rFont val="Minion"/>
        <family val="1"/>
      </rPr>
      <t xml:space="preserve">  Staircase</t>
    </r>
    <phoneticPr fontId="18" type="noConversion"/>
  </si>
  <si>
    <r>
      <rPr>
        <sz val="11"/>
        <color theme="1"/>
        <rFont val="宋体"/>
        <family val="3"/>
        <charset val="134"/>
      </rPr>
      <t>空调机房</t>
    </r>
    <r>
      <rPr>
        <sz val="11"/>
        <color theme="1"/>
        <rFont val="Minion"/>
        <family val="1"/>
      </rPr>
      <t xml:space="preserve"> HVAC Room</t>
    </r>
    <phoneticPr fontId="18" type="noConversion"/>
  </si>
  <si>
    <r>
      <rPr>
        <sz val="11"/>
        <color theme="1"/>
        <rFont val="宋体"/>
        <family val="3"/>
        <charset val="134"/>
      </rPr>
      <t>机柜室</t>
    </r>
    <r>
      <rPr>
        <sz val="11"/>
        <color theme="1"/>
        <rFont val="Minion"/>
        <family val="1"/>
      </rPr>
      <t xml:space="preserve"> Cabinet Room</t>
    </r>
    <phoneticPr fontId="18" type="noConversion"/>
  </si>
  <si>
    <t>3F</t>
    <phoneticPr fontId="11" type="noConversion"/>
  </si>
  <si>
    <t>203(A)</t>
    <phoneticPr fontId="18" type="noConversion"/>
  </si>
  <si>
    <t>2F</t>
    <phoneticPr fontId="11" type="noConversion"/>
  </si>
  <si>
    <t>303(A)</t>
    <phoneticPr fontId="18" type="noConversion"/>
  </si>
  <si>
    <r>
      <rPr>
        <sz val="11"/>
        <color theme="1"/>
        <rFont val="宋体"/>
        <family val="3"/>
        <charset val="134"/>
      </rPr>
      <t>空压机房</t>
    </r>
    <r>
      <rPr>
        <sz val="11"/>
        <color theme="1"/>
        <rFont val="Minion"/>
        <family val="1"/>
      </rPr>
      <t xml:space="preserve"> Air Compressor Room</t>
    </r>
    <phoneticPr fontId="18" type="noConversion"/>
  </si>
  <si>
    <t>125-A</t>
  </si>
  <si>
    <t>127-A</t>
  </si>
  <si>
    <t>130-A</t>
  </si>
  <si>
    <r>
      <rPr>
        <sz val="11"/>
        <color theme="1"/>
        <rFont val="宋体"/>
        <family val="3"/>
        <charset val="134"/>
      </rPr>
      <t>楼梯间一（北）</t>
    </r>
    <r>
      <rPr>
        <sz val="11"/>
        <color theme="1"/>
        <rFont val="Minion"/>
        <family val="1"/>
      </rPr>
      <t xml:space="preserve"> Staircase 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Minion"/>
        <family val="1"/>
      </rPr>
      <t>North</t>
    </r>
    <r>
      <rPr>
        <sz val="11"/>
        <color theme="1"/>
        <rFont val="宋体"/>
        <family val="3"/>
        <charset val="134"/>
      </rPr>
      <t>）</t>
    </r>
    <phoneticPr fontId="18" type="noConversion"/>
  </si>
  <si>
    <r>
      <rPr>
        <sz val="11"/>
        <color theme="1"/>
        <rFont val="Calibri"/>
        <family val="2"/>
      </rPr>
      <t>弱电间</t>
    </r>
    <r>
      <rPr>
        <sz val="11"/>
        <color theme="1"/>
        <rFont val="Minion"/>
        <family val="1"/>
      </rPr>
      <t xml:space="preserve"> MAF &amp; IDF Room</t>
    </r>
  </si>
  <si>
    <r>
      <rPr>
        <sz val="11"/>
        <color theme="1"/>
        <rFont val="宋体"/>
        <family val="3"/>
        <charset val="134"/>
      </rPr>
      <t>办公室</t>
    </r>
    <r>
      <rPr>
        <sz val="11"/>
        <color theme="1"/>
        <rFont val="Minion"/>
        <family val="1"/>
      </rPr>
      <t xml:space="preserve"> Office</t>
    </r>
    <phoneticPr fontId="18" type="noConversion"/>
  </si>
  <si>
    <t xml:space="preserve">茶水间 Pantry </t>
    <phoneticPr fontId="18" type="noConversion"/>
  </si>
  <si>
    <t xml:space="preserve">打印间兼洗涤室 Printing and Washing </t>
  </si>
  <si>
    <r>
      <rPr>
        <sz val="11"/>
        <color theme="1"/>
        <rFont val="宋体"/>
        <family val="3"/>
        <charset val="134"/>
      </rPr>
      <t>楼梯间二（南）</t>
    </r>
    <r>
      <rPr>
        <sz val="11"/>
        <color theme="1"/>
        <rFont val="Minion"/>
        <family val="1"/>
      </rPr>
      <t xml:space="preserve"> Staircase 2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Minion"/>
        <family val="1"/>
      </rPr>
      <t>South</t>
    </r>
    <r>
      <rPr>
        <sz val="11"/>
        <color theme="1"/>
        <rFont val="宋体"/>
        <family val="3"/>
        <charset val="134"/>
      </rPr>
      <t>）</t>
    </r>
    <phoneticPr fontId="18" type="noConversion"/>
  </si>
  <si>
    <r>
      <rPr>
        <sz val="11"/>
        <color theme="1"/>
        <rFont val="宋体"/>
        <family val="3"/>
        <charset val="134"/>
      </rPr>
      <t>柴油机房</t>
    </r>
    <r>
      <rPr>
        <sz val="11"/>
        <color theme="1"/>
        <rFont val="Minion"/>
        <family val="1"/>
      </rPr>
      <t xml:space="preserve"> Diesel Room</t>
    </r>
    <phoneticPr fontId="18" type="noConversion"/>
  </si>
  <si>
    <r>
      <rPr>
        <sz val="11"/>
        <color theme="1"/>
        <rFont val="宋体"/>
        <family val="3"/>
        <charset val="134"/>
      </rPr>
      <t>储油间</t>
    </r>
    <r>
      <rPr>
        <sz val="11"/>
        <color theme="1"/>
        <rFont val="Minion"/>
        <family val="1"/>
      </rPr>
      <t xml:space="preserve"> Daily Oil Room</t>
    </r>
    <phoneticPr fontId="18" type="noConversion"/>
  </si>
  <si>
    <r>
      <rPr>
        <sz val="11"/>
        <color theme="1"/>
        <rFont val="宋体"/>
        <family val="3"/>
        <charset val="134"/>
      </rPr>
      <t>低压配电间</t>
    </r>
    <r>
      <rPr>
        <sz val="11"/>
        <color theme="1"/>
        <rFont val="Minion"/>
        <family val="1"/>
      </rPr>
      <t xml:space="preserve"> LV Switch Room</t>
    </r>
    <phoneticPr fontId="18" type="noConversion"/>
  </si>
  <si>
    <r>
      <rPr>
        <sz val="11"/>
        <color theme="1"/>
        <rFont val="宋体"/>
        <family val="3"/>
        <charset val="134"/>
      </rPr>
      <t>电气控制室</t>
    </r>
    <r>
      <rPr>
        <sz val="11"/>
        <color theme="1"/>
        <rFont val="Minion"/>
        <family val="1"/>
      </rPr>
      <t xml:space="preserve"> Electrical Control Room</t>
    </r>
    <phoneticPr fontId="18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</si>
  <si>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Minion"/>
        <family val="1"/>
      </rPr>
      <t>1 Pipe Shaft 1</t>
    </r>
    <phoneticPr fontId="18" type="noConversion"/>
  </si>
  <si>
    <r>
      <rPr>
        <sz val="11"/>
        <color theme="1"/>
        <rFont val="宋体"/>
        <family val="3"/>
        <charset val="134"/>
      </rPr>
      <t>女生产更衣间</t>
    </r>
    <r>
      <rPr>
        <sz val="11"/>
        <color theme="1"/>
        <rFont val="Minion"/>
        <family val="1"/>
      </rPr>
      <t xml:space="preserve">                                        Female Production Change</t>
    </r>
    <phoneticPr fontId="18" type="noConversion"/>
  </si>
  <si>
    <r>
      <rPr>
        <sz val="11"/>
        <color theme="1"/>
        <rFont val="宋体"/>
        <family val="3"/>
        <charset val="134"/>
      </rPr>
      <t>女更衣室</t>
    </r>
    <r>
      <rPr>
        <sz val="11"/>
        <color theme="1"/>
        <rFont val="Minion"/>
        <family val="1"/>
      </rPr>
      <t xml:space="preserve"> Female Locker Room</t>
    </r>
    <phoneticPr fontId="18" type="noConversion"/>
  </si>
  <si>
    <r>
      <rPr>
        <sz val="11"/>
        <color theme="1"/>
        <rFont val="宋体"/>
        <family val="3"/>
        <charset val="134"/>
      </rPr>
      <t>男生产更衣间</t>
    </r>
    <r>
      <rPr>
        <sz val="11"/>
        <color theme="1"/>
        <rFont val="Minion"/>
        <family val="1"/>
      </rPr>
      <t xml:space="preserve"> Male Production Change</t>
    </r>
    <phoneticPr fontId="18" type="noConversion"/>
  </si>
  <si>
    <r>
      <rPr>
        <sz val="11"/>
        <color theme="1"/>
        <rFont val="宋体"/>
        <family val="3"/>
        <charset val="134"/>
      </rPr>
      <t>男更衣室</t>
    </r>
    <r>
      <rPr>
        <sz val="11"/>
        <color theme="1"/>
        <rFont val="Minion"/>
        <family val="1"/>
      </rPr>
      <t xml:space="preserve"> Male Locker Room</t>
    </r>
    <phoneticPr fontId="18" type="noConversion"/>
  </si>
  <si>
    <r>
      <t>20KV</t>
    </r>
    <r>
      <rPr>
        <sz val="11"/>
        <color theme="1"/>
        <rFont val="宋体"/>
        <family val="3"/>
        <charset val="134"/>
      </rPr>
      <t>强电间</t>
    </r>
    <r>
      <rPr>
        <sz val="11"/>
        <color theme="1"/>
        <rFont val="Minion"/>
        <family val="1"/>
      </rPr>
      <t>2 20KV Switch Room2</t>
    </r>
    <phoneticPr fontId="18" type="noConversion"/>
  </si>
  <si>
    <r>
      <t>20KV</t>
    </r>
    <r>
      <rPr>
        <sz val="11"/>
        <color theme="1"/>
        <rFont val="宋体"/>
        <family val="3"/>
        <charset val="134"/>
      </rPr>
      <t xml:space="preserve">强电间1 </t>
    </r>
    <r>
      <rPr>
        <sz val="11"/>
        <color theme="1"/>
        <rFont val="Minion"/>
        <family val="1"/>
      </rPr>
      <t>20KV Switch Room1</t>
    </r>
    <phoneticPr fontId="18" type="noConversion"/>
  </si>
  <si>
    <r>
      <t>10KV</t>
    </r>
    <r>
      <rPr>
        <sz val="11"/>
        <color theme="1"/>
        <rFont val="宋体"/>
        <family val="3"/>
        <charset val="134"/>
      </rPr>
      <t>强电间</t>
    </r>
    <r>
      <rPr>
        <sz val="11"/>
        <color theme="1"/>
        <rFont val="Minion"/>
        <family val="1"/>
      </rPr>
      <t xml:space="preserve"> 10KV Switch Room</t>
    </r>
    <phoneticPr fontId="18" type="noConversion"/>
  </si>
  <si>
    <t>207-A</t>
  </si>
  <si>
    <t>212-B</t>
  </si>
  <si>
    <r>
      <rPr>
        <sz val="11"/>
        <color theme="1"/>
        <rFont val="宋体"/>
        <family val="3"/>
        <charset val="134"/>
      </rPr>
      <t>数据中心</t>
    </r>
    <r>
      <rPr>
        <sz val="11"/>
        <color theme="1"/>
        <rFont val="Minion"/>
        <family val="1"/>
      </rPr>
      <t xml:space="preserve"> Data Centre</t>
    </r>
    <phoneticPr fontId="18" type="noConversion"/>
  </si>
  <si>
    <r>
      <rPr>
        <sz val="11"/>
        <color theme="1"/>
        <rFont val="宋体"/>
        <family val="3"/>
        <charset val="134"/>
      </rPr>
      <t>风机室</t>
    </r>
    <r>
      <rPr>
        <sz val="11"/>
        <color theme="1"/>
        <rFont val="Minion"/>
        <family val="1"/>
      </rPr>
      <t xml:space="preserve"> Plant Room</t>
    </r>
    <phoneticPr fontId="18" type="noConversion"/>
  </si>
  <si>
    <r>
      <rPr>
        <sz val="11"/>
        <color theme="1"/>
        <rFont val="宋体"/>
        <family val="3"/>
        <charset val="134"/>
      </rPr>
      <t>灭火间</t>
    </r>
    <r>
      <rPr>
        <sz val="11"/>
        <color theme="1"/>
        <rFont val="Minion"/>
        <family val="1"/>
      </rPr>
      <t xml:space="preserve"> IG541 Room</t>
    </r>
    <phoneticPr fontId="18" type="noConversion"/>
  </si>
  <si>
    <r>
      <rPr>
        <sz val="11"/>
        <color theme="1"/>
        <rFont val="宋体"/>
        <family val="3"/>
        <charset val="134"/>
      </rPr>
      <t>备用电源间</t>
    </r>
    <r>
      <rPr>
        <sz val="11"/>
        <color theme="1"/>
        <rFont val="Minion"/>
        <family val="1"/>
      </rPr>
      <t xml:space="preserve"> UPS Room</t>
    </r>
    <phoneticPr fontId="18" type="noConversion"/>
  </si>
  <si>
    <r>
      <t>IT</t>
    </r>
    <r>
      <rPr>
        <sz val="11"/>
        <color theme="1"/>
        <rFont val="宋体"/>
        <family val="3"/>
        <charset val="134"/>
      </rPr>
      <t>操控间</t>
    </r>
    <r>
      <rPr>
        <sz val="11"/>
        <color theme="1"/>
        <rFont val="Minion"/>
        <family val="1"/>
      </rPr>
      <t xml:space="preserve"> IT Operation Room</t>
    </r>
    <phoneticPr fontId="18" type="noConversion"/>
  </si>
  <si>
    <r>
      <rPr>
        <sz val="11"/>
        <color theme="1"/>
        <rFont val="宋体"/>
        <family val="3"/>
        <charset val="134"/>
      </rPr>
      <t>排烟风机室</t>
    </r>
    <r>
      <rPr>
        <sz val="11"/>
        <color theme="1"/>
        <rFont val="Minion"/>
        <family val="1"/>
      </rPr>
      <t xml:space="preserve"> Smoke Fan Room</t>
    </r>
    <phoneticPr fontId="18" type="noConversion"/>
  </si>
  <si>
    <t xml:space="preserve">存储间 Storage Room </t>
  </si>
  <si>
    <r>
      <rPr>
        <sz val="11"/>
        <color theme="1"/>
        <rFont val="宋体"/>
        <family val="3"/>
        <charset val="134"/>
      </rPr>
      <t>备件室</t>
    </r>
    <r>
      <rPr>
        <sz val="11"/>
        <color theme="1"/>
        <rFont val="Minion"/>
        <family val="1"/>
      </rPr>
      <t xml:space="preserve"> Spare Parts Room</t>
    </r>
  </si>
  <si>
    <r>
      <rPr>
        <sz val="11"/>
        <color theme="1"/>
        <rFont val="宋体"/>
        <family val="3"/>
        <charset val="134"/>
      </rPr>
      <t>空调机房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nion"/>
        <family val="1"/>
      </rPr>
      <t>HVAC Room</t>
    </r>
    <phoneticPr fontId="18" type="noConversion"/>
  </si>
  <si>
    <r>
      <t>A</t>
    </r>
    <r>
      <rPr>
        <sz val="11"/>
        <color theme="1"/>
        <rFont val="宋体"/>
        <family val="3"/>
        <charset val="134"/>
      </rPr>
      <t>级储存间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nion"/>
        <family val="1"/>
      </rPr>
      <t>1 Class A(1,2,5,6 item)storage1</t>
    </r>
    <phoneticPr fontId="18" type="noConversion"/>
  </si>
  <si>
    <r>
      <t>A</t>
    </r>
    <r>
      <rPr>
        <sz val="11"/>
        <color theme="1"/>
        <rFont val="宋体"/>
        <family val="3"/>
        <charset val="134"/>
      </rPr>
      <t>级储存间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nion"/>
        <family val="1"/>
      </rPr>
      <t>2 Class A(1,2,5,6 item)storage2</t>
    </r>
    <phoneticPr fontId="18" type="noConversion"/>
  </si>
  <si>
    <t>110</t>
    <phoneticPr fontId="11" type="noConversion"/>
  </si>
  <si>
    <t>111</t>
    <phoneticPr fontId="11" type="noConversion"/>
  </si>
  <si>
    <r>
      <t xml:space="preserve">咖啡休息室 </t>
    </r>
    <r>
      <rPr>
        <sz val="11"/>
        <rFont val="Minion"/>
        <family val="1"/>
      </rPr>
      <t>Cafe Waiting Area</t>
    </r>
    <phoneticPr fontId="18" type="noConversion"/>
  </si>
  <si>
    <r>
      <t xml:space="preserve">走道 </t>
    </r>
    <r>
      <rPr>
        <sz val="11"/>
        <rFont val="Minion"/>
        <family val="1"/>
      </rPr>
      <t>Corridor</t>
    </r>
    <phoneticPr fontId="18" type="noConversion"/>
  </si>
  <si>
    <r>
      <t xml:space="preserve">机房 </t>
    </r>
    <r>
      <rPr>
        <sz val="11"/>
        <rFont val="Minion"/>
        <family val="1"/>
      </rPr>
      <t>Mech.</t>
    </r>
    <phoneticPr fontId="18" type="noConversion"/>
  </si>
  <si>
    <r>
      <t xml:space="preserve">分析室 </t>
    </r>
    <r>
      <rPr>
        <sz val="11"/>
        <rFont val="Minion"/>
        <family val="1"/>
      </rPr>
      <t>Analysis</t>
    </r>
    <phoneticPr fontId="18" type="noConversion"/>
  </si>
  <si>
    <r>
      <t xml:space="preserve">卫生间 </t>
    </r>
    <r>
      <rPr>
        <sz val="11"/>
        <rFont val="Minion"/>
        <family val="1"/>
      </rPr>
      <t>Toilet</t>
    </r>
    <phoneticPr fontId="18" type="noConversion"/>
  </si>
  <si>
    <r>
      <t xml:space="preserve">保安室 </t>
    </r>
    <r>
      <rPr>
        <sz val="11"/>
        <rFont val="Minion"/>
        <family val="1"/>
      </rPr>
      <t>Guard</t>
    </r>
    <phoneticPr fontId="18" type="noConversion"/>
  </si>
  <si>
    <r>
      <t xml:space="preserve">开闭所 </t>
    </r>
    <r>
      <rPr>
        <sz val="11"/>
        <rFont val="Minion"/>
        <family val="1"/>
      </rPr>
      <t>Sub-Section Post</t>
    </r>
    <phoneticPr fontId="18" type="noConversion"/>
  </si>
  <si>
    <r>
      <t xml:space="preserve">自行车库2 </t>
    </r>
    <r>
      <rPr>
        <sz val="11"/>
        <rFont val="Minion"/>
        <family val="1"/>
      </rPr>
      <t>Bicycle Storage 2</t>
    </r>
    <phoneticPr fontId="11" type="noConversion"/>
  </si>
  <si>
    <r>
      <rPr>
        <sz val="11"/>
        <color theme="1"/>
        <rFont val="宋体"/>
        <family val="3"/>
        <charset val="134"/>
      </rPr>
      <t>卫生间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nion"/>
        <family val="1"/>
      </rPr>
      <t>Toilet</t>
    </r>
    <phoneticPr fontId="18" type="noConversion"/>
  </si>
  <si>
    <r>
      <rPr>
        <sz val="11"/>
        <color theme="1"/>
        <rFont val="宋体"/>
        <family val="3"/>
        <charset val="134"/>
      </rPr>
      <t>休息室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nion"/>
        <family val="1"/>
      </rPr>
      <t>Bedroom</t>
    </r>
    <phoneticPr fontId="18" type="noConversion"/>
  </si>
  <si>
    <r>
      <rPr>
        <sz val="11"/>
        <color theme="1"/>
        <rFont val="宋体"/>
        <family val="3"/>
        <charset val="134"/>
      </rPr>
      <t>接待区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nion"/>
        <family val="1"/>
      </rPr>
      <t>Good Reception</t>
    </r>
    <phoneticPr fontId="18" type="noConversion"/>
  </si>
  <si>
    <t xml:space="preserve">高架冷库 High Bay Cold Room Storage </t>
    <phoneticPr fontId="11" type="noConversion"/>
  </si>
  <si>
    <t>2F</t>
    <phoneticPr fontId="11" type="noConversion"/>
  </si>
  <si>
    <t>楼梯间三（西北） Staircase 3 (North-West)</t>
    <phoneticPr fontId="11" type="noConversion"/>
  </si>
  <si>
    <t>Window</t>
    <phoneticPr fontId="11" type="noConversion"/>
  </si>
  <si>
    <t>F9-抗静电架空塑胶地板600*600mm</t>
    <phoneticPr fontId="11" type="noConversion"/>
  </si>
  <si>
    <t>S6-成品防静电不锈钢踢脚</t>
    <phoneticPr fontId="11" type="noConversion"/>
  </si>
  <si>
    <t>F2</t>
    <phoneticPr fontId="11" type="noConversion"/>
  </si>
  <si>
    <t>171</t>
    <phoneticPr fontId="11" type="noConversion"/>
  </si>
  <si>
    <r>
      <rPr>
        <sz val="11"/>
        <color theme="1"/>
        <rFont val="宋体"/>
        <family val="3"/>
        <charset val="134"/>
      </rPr>
      <t>灭活处理间</t>
    </r>
    <r>
      <rPr>
        <sz val="11"/>
        <color theme="1"/>
        <rFont val="Minion"/>
        <family val="1"/>
      </rPr>
      <t xml:space="preserve"> EDS Room</t>
    </r>
    <phoneticPr fontId="11" type="noConversion"/>
  </si>
  <si>
    <r>
      <t>F2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</si>
  <si>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r>
      <t>C</t>
    </r>
    <r>
      <rPr>
        <sz val="11"/>
        <color rgb="FF000000"/>
        <rFont val="SimSun"/>
        <charset val="134"/>
      </rPr>
      <t>5</t>
    </r>
    <phoneticPr fontId="11" type="noConversion"/>
  </si>
  <si>
    <r>
      <t>W</t>
    </r>
    <r>
      <rPr>
        <sz val="11"/>
        <color rgb="FF000000"/>
        <rFont val="SimSun"/>
        <charset val="134"/>
      </rPr>
      <t>1</t>
    </r>
    <phoneticPr fontId="11" type="noConversion"/>
  </si>
  <si>
    <r>
      <t>C</t>
    </r>
    <r>
      <rPr>
        <sz val="11"/>
        <color rgb="FF000000"/>
        <rFont val="SimSun"/>
        <charset val="134"/>
      </rPr>
      <t>4</t>
    </r>
    <phoneticPr fontId="11" type="noConversion"/>
  </si>
  <si>
    <t>C2</t>
    <phoneticPr fontId="11" type="noConversion"/>
  </si>
  <si>
    <r>
      <t>C</t>
    </r>
    <r>
      <rPr>
        <sz val="11"/>
        <color rgb="FF000000"/>
        <rFont val="SimSun"/>
        <charset val="134"/>
      </rPr>
      <t>1</t>
    </r>
    <phoneticPr fontId="11" type="noConversion"/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</si>
  <si>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Minion"/>
        <family val="1"/>
      </rPr>
      <t xml:space="preserve"> Corridor128</t>
    </r>
    <phoneticPr fontId="11" type="noConversion"/>
  </si>
  <si>
    <t>单层建筑面积</t>
    <phoneticPr fontId="11" type="noConversion"/>
  </si>
  <si>
    <t>单层建筑面积</t>
    <phoneticPr fontId="11" type="noConversion"/>
  </si>
  <si>
    <r>
      <t xml:space="preserve">VIP ROOM VIP </t>
    </r>
    <r>
      <rPr>
        <sz val="10"/>
        <color rgb="FF000000"/>
        <rFont val="宋体"/>
        <family val="3"/>
        <charset val="134"/>
      </rPr>
      <t>办公室</t>
    </r>
    <phoneticPr fontId="11" type="noConversion"/>
  </si>
  <si>
    <t>ALL</t>
    <phoneticPr fontId="11" type="noConversion"/>
  </si>
  <si>
    <t>总建筑面积</t>
    <phoneticPr fontId="11" type="noConversion"/>
  </si>
  <si>
    <t>RDSZ Building Room Information</t>
    <phoneticPr fontId="11" type="noConversion"/>
  </si>
  <si>
    <t>NOTES</t>
    <phoneticPr fontId="11" type="noConversion"/>
  </si>
  <si>
    <t xml:space="preserve">废弃物暂存WASTE STORAGE
</t>
    <phoneticPr fontId="11" type="noConversion"/>
  </si>
  <si>
    <r>
      <rPr>
        <sz val="10"/>
        <color rgb="FF000000"/>
        <rFont val="宋体"/>
        <family val="3"/>
        <charset val="134"/>
      </rPr>
      <t>耗材备品间</t>
    </r>
    <r>
      <rPr>
        <sz val="10"/>
        <color rgb="FF000000"/>
        <rFont val="Imago"/>
      </rPr>
      <t>Supplies Storage room</t>
    </r>
    <phoneticPr fontId="11" type="noConversion"/>
  </si>
  <si>
    <r>
      <rPr>
        <sz val="10"/>
        <color rgb="FF000000"/>
        <rFont val="宋体"/>
        <family val="3"/>
        <charset val="134"/>
      </rPr>
      <t>走道</t>
    </r>
    <r>
      <rPr>
        <sz val="10"/>
        <color rgb="FF000000"/>
        <rFont val="Imago"/>
      </rPr>
      <t>CORRIDOR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Imago"/>
      </rPr>
      <t xml:space="preserve">
</t>
    </r>
    <phoneticPr fontId="11" type="noConversion"/>
  </si>
  <si>
    <r>
      <t>155</t>
    </r>
    <r>
      <rPr>
        <sz val="11"/>
        <color rgb="FF000000"/>
        <rFont val="SimSun"/>
        <charset val="134"/>
      </rPr>
      <t>A</t>
    </r>
    <phoneticPr fontId="11" type="noConversion"/>
  </si>
  <si>
    <t xml:space="preserve">DATA Center 数据中心
</t>
    <phoneticPr fontId="11" type="noConversion"/>
  </si>
  <si>
    <t>163a</t>
    <phoneticPr fontId="11" type="noConversion"/>
  </si>
  <si>
    <t>净面积(M2)</t>
    <phoneticPr fontId="11" type="noConversion"/>
  </si>
  <si>
    <t xml:space="preserve">墙面做法 </t>
    <phoneticPr fontId="11" type="noConversion"/>
  </si>
  <si>
    <t>F3</t>
    <phoneticPr fontId="11" type="noConversion"/>
  </si>
  <si>
    <t xml:space="preserve">C1/C2
</t>
    <phoneticPr fontId="11" type="noConversion"/>
  </si>
  <si>
    <t>10#电梯 10#Elevator</t>
    <phoneticPr fontId="11" type="noConversion"/>
  </si>
  <si>
    <t>9#电梯 9#Elevator</t>
    <phoneticPr fontId="11" type="noConversion"/>
  </si>
  <si>
    <r>
      <t>19.5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</si>
  <si>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t xml:space="preserve">24.5
</t>
    <phoneticPr fontId="11" type="noConversion"/>
  </si>
  <si>
    <t xml:space="preserve">12.1
</t>
    <phoneticPr fontId="11" type="noConversion"/>
  </si>
  <si>
    <t xml:space="preserve">51.9
</t>
    <phoneticPr fontId="11" type="noConversion"/>
  </si>
  <si>
    <t xml:space="preserve">41.4
</t>
    <phoneticPr fontId="11" type="noConversion"/>
  </si>
  <si>
    <t xml:space="preserve">11.2
</t>
    <phoneticPr fontId="11" type="noConversion"/>
  </si>
  <si>
    <t xml:space="preserve">189.2
</t>
    <phoneticPr fontId="11" type="noConversion"/>
  </si>
  <si>
    <t xml:space="preserve">81.1
10.5M2
22.7M2
</t>
    <phoneticPr fontId="11" type="noConversion"/>
  </si>
  <si>
    <t xml:space="preserve">8.9
22.7M2
</t>
    <phoneticPr fontId="11" type="noConversion"/>
  </si>
  <si>
    <t xml:space="preserve">9.2
</t>
    <phoneticPr fontId="11" type="noConversion"/>
  </si>
  <si>
    <t xml:space="preserve">9.6
</t>
    <phoneticPr fontId="11" type="noConversion"/>
  </si>
  <si>
    <t xml:space="preserve">10.6
</t>
    <phoneticPr fontId="11" type="noConversion"/>
  </si>
  <si>
    <t xml:space="preserve">48.9
</t>
    <phoneticPr fontId="11" type="noConversion"/>
  </si>
  <si>
    <t xml:space="preserve">4.0
10.1M2
</t>
    <phoneticPr fontId="11" type="noConversion"/>
  </si>
  <si>
    <t xml:space="preserve">3.7
</t>
    <phoneticPr fontId="11" type="noConversion"/>
  </si>
  <si>
    <t xml:space="preserve">8.0
</t>
    <phoneticPr fontId="11" type="noConversion"/>
  </si>
  <si>
    <t xml:space="preserve">10.2
</t>
    <phoneticPr fontId="11" type="noConversion"/>
  </si>
  <si>
    <t xml:space="preserve">13.8
</t>
    <phoneticPr fontId="11" type="noConversion"/>
  </si>
  <si>
    <t xml:space="preserve">8.8
</t>
    <phoneticPr fontId="11" type="noConversion"/>
  </si>
  <si>
    <t xml:space="preserve">13.6
</t>
    <phoneticPr fontId="11" type="noConversion"/>
  </si>
  <si>
    <r>
      <t>IG541</t>
    </r>
    <r>
      <rPr>
        <sz val="11"/>
        <color theme="1"/>
        <rFont val="宋体"/>
        <family val="3"/>
        <charset val="134"/>
      </rPr>
      <t>室</t>
    </r>
    <r>
      <rPr>
        <sz val="11"/>
        <color theme="1"/>
        <rFont val="Minion"/>
        <family val="1"/>
      </rPr>
      <t xml:space="preserve"> IG541 Room</t>
    </r>
    <phoneticPr fontId="11" type="noConversion"/>
  </si>
  <si>
    <r>
      <t>UPS</t>
    </r>
    <r>
      <rPr>
        <sz val="11"/>
        <color theme="1"/>
        <rFont val="宋体"/>
        <family val="3"/>
        <charset val="134"/>
      </rPr>
      <t>室2</t>
    </r>
    <r>
      <rPr>
        <sz val="11"/>
        <color theme="1"/>
        <rFont val="Minion"/>
        <family val="1"/>
      </rPr>
      <t xml:space="preserve"> UPS Room 2</t>
    </r>
    <phoneticPr fontId="11" type="noConversion"/>
  </si>
  <si>
    <r>
      <rPr>
        <sz val="11"/>
        <color theme="1"/>
        <rFont val="宋体"/>
        <family val="3"/>
        <charset val="134"/>
      </rPr>
      <t>弱电室</t>
    </r>
    <r>
      <rPr>
        <sz val="11"/>
        <color theme="1"/>
        <rFont val="Minion"/>
        <family val="1"/>
      </rPr>
      <t xml:space="preserve"> MDF&amp;IDF</t>
    </r>
    <phoneticPr fontId="11" type="noConversion"/>
  </si>
  <si>
    <r>
      <rPr>
        <sz val="11"/>
        <color theme="1"/>
        <rFont val="宋体"/>
        <family val="3"/>
        <charset val="134"/>
      </rPr>
      <t>强电室</t>
    </r>
    <r>
      <rPr>
        <sz val="11"/>
        <color theme="1"/>
        <rFont val="Minion"/>
        <family val="1"/>
      </rPr>
      <t xml:space="preserve"> Electrical Room</t>
    </r>
    <phoneticPr fontId="11" type="noConversion"/>
  </si>
  <si>
    <t>管道井 Shaft</t>
    <phoneticPr fontId="11" type="noConversion"/>
  </si>
  <si>
    <t>走道 Corridor</t>
    <phoneticPr fontId="11" type="noConversion"/>
  </si>
  <si>
    <r>
      <rPr>
        <sz val="11"/>
        <color theme="1"/>
        <rFont val="宋体"/>
        <family val="3"/>
        <charset val="134"/>
      </rPr>
      <t>男卫生间</t>
    </r>
    <r>
      <rPr>
        <sz val="11"/>
        <color theme="1"/>
        <rFont val="Minion"/>
        <family val="1"/>
      </rPr>
      <t xml:space="preserve"> Male Toilet</t>
    </r>
    <phoneticPr fontId="11" type="noConversion"/>
  </si>
  <si>
    <r>
      <rPr>
        <sz val="11"/>
        <color theme="1"/>
        <rFont val="宋体"/>
        <family val="3"/>
        <charset val="134"/>
      </rPr>
      <t>女卫生间</t>
    </r>
    <r>
      <rPr>
        <sz val="11"/>
        <color theme="1"/>
        <rFont val="Minion"/>
        <family val="1"/>
      </rPr>
      <t xml:space="preserve"> Female Toilet</t>
    </r>
    <phoneticPr fontId="11" type="noConversion"/>
  </si>
  <si>
    <t xml:space="preserve">卫生间前室 TOILET'S FRONT RM
</t>
    <phoneticPr fontId="11" type="noConversion"/>
  </si>
  <si>
    <t xml:space="preserve">卫生间 TOILET
</t>
    <phoneticPr fontId="11" type="noConversion"/>
  </si>
  <si>
    <t>医务室 Healthcare Center</t>
    <phoneticPr fontId="11" type="noConversion"/>
  </si>
  <si>
    <r>
      <rPr>
        <sz val="11"/>
        <color theme="1"/>
        <rFont val="宋体"/>
        <family val="3"/>
        <charset val="134"/>
      </rPr>
      <t>诊断室</t>
    </r>
    <r>
      <rPr>
        <sz val="11"/>
        <color theme="1"/>
        <rFont val="Minion"/>
        <family val="1"/>
      </rPr>
      <t xml:space="preserve"> Diagnosis Room</t>
    </r>
    <phoneticPr fontId="11" type="noConversion"/>
  </si>
  <si>
    <r>
      <rPr>
        <sz val="11"/>
        <color theme="1"/>
        <rFont val="宋体"/>
        <family val="3"/>
        <charset val="134"/>
      </rPr>
      <t>处置室</t>
    </r>
    <r>
      <rPr>
        <sz val="11"/>
        <color theme="1"/>
        <rFont val="Minion"/>
        <family val="1"/>
      </rPr>
      <t xml:space="preserve"> Disposal Room</t>
    </r>
    <phoneticPr fontId="11" type="noConversion"/>
  </si>
  <si>
    <r>
      <rPr>
        <sz val="11"/>
        <color theme="1"/>
        <rFont val="宋体"/>
        <family val="3"/>
        <charset val="134"/>
      </rPr>
      <t>治疗室</t>
    </r>
    <r>
      <rPr>
        <sz val="11"/>
        <color theme="1"/>
        <rFont val="Minion"/>
        <family val="1"/>
      </rPr>
      <t xml:space="preserve"> Treatment Room</t>
    </r>
    <phoneticPr fontId="11" type="noConversion"/>
  </si>
  <si>
    <t>储藏间 Storage</t>
    <phoneticPr fontId="11" type="noConversion"/>
  </si>
  <si>
    <r>
      <rPr>
        <sz val="11"/>
        <color theme="1"/>
        <rFont val="宋体"/>
        <family val="3"/>
        <charset val="134"/>
      </rPr>
      <t>楼梯间一（东）</t>
    </r>
    <r>
      <rPr>
        <sz val="11"/>
        <color theme="1"/>
        <rFont val="Minion"/>
        <family val="1"/>
      </rPr>
      <t xml:space="preserve"> Staircase 1(East)</t>
    </r>
    <phoneticPr fontId="11" type="noConversion"/>
  </si>
  <si>
    <t>更衣间 Gowning Room</t>
    <phoneticPr fontId="11" type="noConversion"/>
  </si>
  <si>
    <r>
      <rPr>
        <sz val="11"/>
        <color theme="1"/>
        <rFont val="宋体"/>
        <family val="3"/>
        <charset val="134"/>
      </rPr>
      <t>楼梯间二（西南）</t>
    </r>
    <r>
      <rPr>
        <sz val="11"/>
        <color theme="1"/>
        <rFont val="Minion"/>
        <family val="1"/>
      </rPr>
      <t xml:space="preserve"> Staircase 2 (South-West)</t>
    </r>
    <phoneticPr fontId="11" type="noConversion"/>
  </si>
  <si>
    <r>
      <rPr>
        <sz val="11"/>
        <color theme="1"/>
        <rFont val="宋体"/>
        <family val="3"/>
        <charset val="134"/>
      </rPr>
      <t>男浴室</t>
    </r>
    <r>
      <rPr>
        <sz val="11"/>
        <color theme="1"/>
        <rFont val="Minion"/>
        <family val="1"/>
      </rPr>
      <t xml:space="preserve"> Male Shower</t>
    </r>
    <phoneticPr fontId="11" type="noConversion"/>
  </si>
  <si>
    <r>
      <rPr>
        <sz val="11"/>
        <color theme="1"/>
        <rFont val="宋体"/>
        <family val="3"/>
        <charset val="134"/>
      </rPr>
      <t>男厕所</t>
    </r>
    <r>
      <rPr>
        <sz val="11"/>
        <color theme="1"/>
        <rFont val="Minion"/>
        <family val="1"/>
      </rPr>
      <t xml:space="preserve"> Male Toilet</t>
    </r>
    <phoneticPr fontId="11" type="noConversion"/>
  </si>
  <si>
    <t>洁具间 Janitor</t>
    <phoneticPr fontId="11" type="noConversion"/>
  </si>
  <si>
    <r>
      <rPr>
        <sz val="11"/>
        <color theme="1"/>
        <rFont val="宋体"/>
        <family val="3"/>
        <charset val="134"/>
      </rPr>
      <t>洗衣房</t>
    </r>
    <r>
      <rPr>
        <sz val="11"/>
        <color theme="1"/>
        <rFont val="Minion"/>
        <family val="1"/>
      </rPr>
      <t xml:space="preserve"> Laundry</t>
    </r>
    <phoneticPr fontId="11" type="noConversion"/>
  </si>
  <si>
    <r>
      <rPr>
        <sz val="11"/>
        <color theme="1"/>
        <rFont val="宋体"/>
        <family val="3"/>
        <charset val="134"/>
      </rPr>
      <t>女厕所</t>
    </r>
    <r>
      <rPr>
        <sz val="11"/>
        <color theme="1"/>
        <rFont val="Minion"/>
        <family val="1"/>
      </rPr>
      <t xml:space="preserve"> Female Toilet </t>
    </r>
    <phoneticPr fontId="11" type="noConversion"/>
  </si>
  <si>
    <r>
      <rPr>
        <sz val="11"/>
        <color theme="1"/>
        <rFont val="宋体"/>
        <family val="3"/>
        <charset val="134"/>
      </rPr>
      <t>洁具间</t>
    </r>
    <r>
      <rPr>
        <sz val="11"/>
        <color theme="1"/>
        <rFont val="Minion"/>
        <family val="1"/>
      </rPr>
      <t xml:space="preserve"> Janitor</t>
    </r>
    <phoneticPr fontId="11" type="noConversion"/>
  </si>
  <si>
    <r>
      <rPr>
        <sz val="11"/>
        <color theme="1"/>
        <rFont val="宋体"/>
        <family val="3"/>
        <charset val="134"/>
      </rPr>
      <t>女浴室</t>
    </r>
    <r>
      <rPr>
        <sz val="11"/>
        <color theme="1"/>
        <rFont val="Minion"/>
        <family val="1"/>
      </rPr>
      <t xml:space="preserve"> Female Shower</t>
    </r>
    <phoneticPr fontId="11" type="noConversion"/>
  </si>
  <si>
    <r>
      <rPr>
        <sz val="11"/>
        <color theme="1"/>
        <rFont val="宋体"/>
        <family val="3"/>
        <charset val="134"/>
      </rPr>
      <t>储存室</t>
    </r>
    <r>
      <rPr>
        <sz val="11"/>
        <color theme="1"/>
        <rFont val="Minion"/>
        <family val="1"/>
      </rPr>
      <t xml:space="preserve"> Storage</t>
    </r>
    <phoneticPr fontId="11" type="noConversion"/>
  </si>
  <si>
    <t>管井 Shaft</t>
    <phoneticPr fontId="11" type="noConversion"/>
  </si>
  <si>
    <t>储存室 Storage</t>
    <phoneticPr fontId="11" type="noConversion"/>
  </si>
  <si>
    <r>
      <t>女总更更衣室</t>
    </r>
    <r>
      <rPr>
        <sz val="11"/>
        <color theme="1"/>
        <rFont val="Minion"/>
        <family val="1"/>
      </rPr>
      <t xml:space="preserve"> Female General Gowning Room</t>
    </r>
    <phoneticPr fontId="11" type="noConversion"/>
  </si>
  <si>
    <r>
      <rPr>
        <sz val="11"/>
        <color theme="1"/>
        <rFont val="宋体"/>
        <family val="3"/>
        <charset val="134"/>
      </rPr>
      <t>男总更更衣室</t>
    </r>
    <r>
      <rPr>
        <sz val="11"/>
        <color theme="1"/>
        <rFont val="Minion"/>
        <family val="1"/>
      </rPr>
      <t xml:space="preserve"> Male General Gowning Room</t>
    </r>
    <phoneticPr fontId="11" type="noConversion"/>
  </si>
  <si>
    <t>工作服存放 Uniform Storage</t>
    <phoneticPr fontId="11" type="noConversion"/>
  </si>
  <si>
    <r>
      <rPr>
        <sz val="11"/>
        <color theme="1"/>
        <rFont val="宋体"/>
        <family val="3"/>
        <charset val="134"/>
      </rPr>
      <t>访客总更衣室</t>
    </r>
    <r>
      <rPr>
        <sz val="11"/>
        <color theme="1"/>
        <rFont val="Minion"/>
        <family val="1"/>
      </rPr>
      <t xml:space="preserve"> Visitor General Gowning Room</t>
    </r>
    <phoneticPr fontId="11" type="noConversion"/>
  </si>
  <si>
    <r>
      <rPr>
        <sz val="11"/>
        <color theme="1"/>
        <rFont val="宋体"/>
        <family val="3"/>
        <charset val="134"/>
      </rPr>
      <t>配电室</t>
    </r>
    <r>
      <rPr>
        <sz val="11"/>
        <color theme="1"/>
        <rFont val="Minion"/>
        <family val="1"/>
      </rPr>
      <t xml:space="preserve"> Electricaltrical Room</t>
    </r>
    <phoneticPr fontId="11" type="noConversion"/>
  </si>
  <si>
    <r>
      <rPr>
        <sz val="11"/>
        <color theme="1"/>
        <rFont val="宋体"/>
        <family val="3"/>
        <charset val="134"/>
      </rPr>
      <t>废物处理间</t>
    </r>
    <r>
      <rPr>
        <sz val="11"/>
        <color theme="1"/>
        <rFont val="Minion"/>
        <family val="1"/>
      </rPr>
      <t xml:space="preserve"> Waste Handling Room</t>
    </r>
    <phoneticPr fontId="11" type="noConversion"/>
  </si>
  <si>
    <r>
      <rPr>
        <sz val="11"/>
        <color theme="1"/>
        <rFont val="宋体"/>
        <family val="3"/>
        <charset val="134"/>
      </rPr>
      <t>微生物实验室 MicrobiologicalLab</t>
    </r>
    <r>
      <rPr>
        <strike/>
        <sz val="11"/>
        <color theme="1"/>
        <rFont val="宋体"/>
        <family val="3"/>
        <charset val="134"/>
      </rPr>
      <t xml:space="preserve">
</t>
    </r>
    <phoneticPr fontId="11" type="noConversion"/>
  </si>
  <si>
    <r>
      <rPr>
        <sz val="11"/>
        <color theme="1"/>
        <rFont val="宋体"/>
        <family val="3"/>
        <charset val="134"/>
      </rPr>
      <t>培养室</t>
    </r>
    <r>
      <rPr>
        <sz val="11"/>
        <color theme="1"/>
        <rFont val="Minion"/>
        <family val="1"/>
      </rPr>
      <t xml:space="preserve"> Incubation</t>
    </r>
    <phoneticPr fontId="11" type="noConversion"/>
  </si>
  <si>
    <t>微生物限度检查室 Microbiological Limit Room</t>
    <phoneticPr fontId="11" type="noConversion"/>
  </si>
  <si>
    <t xml:space="preserve">阳性室Positive RM </t>
    <phoneticPr fontId="11" type="noConversion"/>
  </si>
  <si>
    <r>
      <rPr>
        <sz val="11"/>
        <color theme="1"/>
        <rFont val="宋体"/>
        <family val="3"/>
        <charset val="134"/>
      </rPr>
      <t>清洗室</t>
    </r>
    <r>
      <rPr>
        <sz val="11"/>
        <color theme="1"/>
        <rFont val="Minion"/>
        <family val="1"/>
      </rPr>
      <t>Washing Room</t>
    </r>
    <phoneticPr fontId="11" type="noConversion"/>
  </si>
  <si>
    <t>更衣间Gowning Room</t>
    <phoneticPr fontId="11" type="noConversion"/>
  </si>
  <si>
    <r>
      <rPr>
        <sz val="11"/>
        <color theme="1"/>
        <rFont val="宋体"/>
        <family val="3"/>
        <charset val="134"/>
      </rPr>
      <t>物料气闸间</t>
    </r>
    <r>
      <rPr>
        <sz val="11"/>
        <color theme="1"/>
        <rFont val="Minion"/>
        <family val="1"/>
      </rPr>
      <t xml:space="preserve"> MAL</t>
    </r>
    <phoneticPr fontId="11" type="noConversion"/>
  </si>
  <si>
    <r>
      <rPr>
        <sz val="11"/>
        <color theme="1"/>
        <rFont val="宋体"/>
        <family val="3"/>
        <charset val="134"/>
      </rPr>
      <t>楼梯间一（东）</t>
    </r>
    <r>
      <rPr>
        <sz val="11"/>
        <color theme="1"/>
        <rFont val="Minion"/>
        <family val="1"/>
      </rPr>
      <t xml:space="preserve"> Staircase1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Minion"/>
        <family val="1"/>
      </rPr>
      <t>East</t>
    </r>
    <r>
      <rPr>
        <sz val="11"/>
        <color theme="1"/>
        <rFont val="宋体"/>
        <family val="3"/>
        <charset val="134"/>
      </rPr>
      <t>）</t>
    </r>
    <phoneticPr fontId="11" type="noConversion"/>
  </si>
  <si>
    <t>风机房 Ventilator Room</t>
    <phoneticPr fontId="11" type="noConversion"/>
  </si>
  <si>
    <r>
      <rPr>
        <sz val="11"/>
        <color theme="1"/>
        <rFont val="宋体"/>
        <family val="3"/>
        <charset val="134"/>
      </rPr>
      <t>会议室</t>
    </r>
    <r>
      <rPr>
        <sz val="11"/>
        <color theme="1"/>
        <rFont val="Minion"/>
        <family val="1"/>
      </rPr>
      <t xml:space="preserve"> Meeting Room</t>
    </r>
    <phoneticPr fontId="11" type="noConversion"/>
  </si>
  <si>
    <r>
      <t xml:space="preserve">QC </t>
    </r>
    <r>
      <rPr>
        <sz val="11"/>
        <color theme="1"/>
        <rFont val="宋体"/>
        <family val="3"/>
        <charset val="134"/>
      </rPr>
      <t>办公室</t>
    </r>
    <r>
      <rPr>
        <sz val="11"/>
        <color theme="1"/>
        <rFont val="Minion"/>
        <family val="1"/>
      </rPr>
      <t>-</t>
    </r>
    <r>
      <rPr>
        <sz val="11"/>
        <color theme="1"/>
        <rFont val="宋体"/>
        <family val="3"/>
        <charset val="134"/>
      </rPr>
      <t>预留</t>
    </r>
    <r>
      <rPr>
        <sz val="11"/>
        <color theme="1"/>
        <rFont val="Minion"/>
        <family val="1"/>
      </rPr>
      <t xml:space="preserve"> QC Office-Reserved</t>
    </r>
    <phoneticPr fontId="11" type="noConversion"/>
  </si>
  <si>
    <r>
      <rPr>
        <sz val="11"/>
        <color theme="1"/>
        <rFont val="宋体"/>
        <family val="3"/>
        <charset val="134"/>
      </rPr>
      <t>茶水间</t>
    </r>
    <r>
      <rPr>
        <sz val="11"/>
        <color theme="1"/>
        <rFont val="Minion"/>
        <family val="1"/>
      </rPr>
      <t xml:space="preserve"> Pantry</t>
    </r>
    <phoneticPr fontId="11" type="noConversion"/>
  </si>
  <si>
    <r>
      <t xml:space="preserve">Cobas </t>
    </r>
    <r>
      <rPr>
        <sz val="11"/>
        <color theme="1"/>
        <rFont val="宋体"/>
        <family val="3"/>
        <charset val="134"/>
      </rPr>
      <t>分析设备实验室（二级生物实验室）</t>
    </r>
    <r>
      <rPr>
        <sz val="11"/>
        <color theme="1"/>
        <rFont val="Minion"/>
        <family val="1"/>
      </rPr>
      <t xml:space="preserve"> Cobas ANALYZER LAB (BSL-2A)  </t>
    </r>
    <phoneticPr fontId="11" type="noConversion"/>
  </si>
  <si>
    <r>
      <rPr>
        <sz val="11"/>
        <color theme="1"/>
        <rFont val="宋体"/>
        <family val="3"/>
        <charset val="134"/>
      </rPr>
      <t>废料间</t>
    </r>
    <r>
      <rPr>
        <sz val="11"/>
        <color theme="1"/>
        <rFont val="Minion"/>
        <family val="1"/>
      </rPr>
      <t xml:space="preserve">  Waste Room</t>
    </r>
    <phoneticPr fontId="11" type="noConversion"/>
  </si>
  <si>
    <t xml:space="preserve">样品备料间 Sample Preparation </t>
    <phoneticPr fontId="11" type="noConversion"/>
  </si>
  <si>
    <t xml:space="preserve">稳定性实验室 Stability Room
</t>
    <phoneticPr fontId="11" type="noConversion"/>
  </si>
  <si>
    <r>
      <rPr>
        <sz val="11"/>
        <color theme="1"/>
        <rFont val="宋体"/>
        <family val="3"/>
        <charset val="134"/>
      </rPr>
      <t>理化实验室</t>
    </r>
    <r>
      <rPr>
        <sz val="11"/>
        <color theme="1"/>
        <rFont val="Minion"/>
        <family val="1"/>
      </rPr>
      <t xml:space="preserve"> Physical &amp; Chemical Lab</t>
    </r>
    <phoneticPr fontId="11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</si>
  <si>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Minion"/>
        <family val="1"/>
      </rPr>
      <t xml:space="preserve"> Shaft</t>
    </r>
    <phoneticPr fontId="11" type="noConversion"/>
  </si>
  <si>
    <r>
      <rPr>
        <sz val="11"/>
        <color theme="1"/>
        <rFont val="宋体"/>
        <family val="3"/>
        <charset val="134"/>
      </rPr>
      <t>清洗间</t>
    </r>
    <r>
      <rPr>
        <sz val="11"/>
        <color theme="1"/>
        <rFont val="Minion"/>
        <family val="1"/>
      </rPr>
      <t xml:space="preserve"> Washing Room</t>
    </r>
    <phoneticPr fontId="11" type="noConversion"/>
  </si>
  <si>
    <r>
      <rPr>
        <sz val="11"/>
        <color theme="1"/>
        <rFont val="宋体"/>
        <family val="3"/>
        <charset val="134"/>
      </rPr>
      <t>常温储存间</t>
    </r>
    <r>
      <rPr>
        <sz val="11"/>
        <color theme="1"/>
        <rFont val="Minion"/>
        <family val="1"/>
      </rPr>
      <t xml:space="preserve"> Room Temperature Storage</t>
    </r>
    <phoneticPr fontId="11" type="noConversion"/>
  </si>
  <si>
    <r>
      <rPr>
        <sz val="11"/>
        <color theme="1"/>
        <rFont val="宋体"/>
        <family val="3"/>
        <charset val="134"/>
      </rPr>
      <t>冷库</t>
    </r>
    <r>
      <rPr>
        <sz val="11"/>
        <color theme="1"/>
        <rFont val="Minion"/>
        <family val="1"/>
      </rPr>
      <t>1(2-8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>) Cold Room 1 (2-8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>)</t>
    </r>
    <phoneticPr fontId="11" type="noConversion"/>
  </si>
  <si>
    <r>
      <rPr>
        <sz val="11"/>
        <color theme="1"/>
        <rFont val="宋体"/>
        <family val="3"/>
        <charset val="134"/>
      </rPr>
      <t>冷库</t>
    </r>
    <r>
      <rPr>
        <sz val="11"/>
        <color theme="1"/>
        <rFont val="Minion"/>
        <family val="1"/>
      </rPr>
      <t>2 (2-8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>)Cold Room 2 (2-8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>)</t>
    </r>
    <phoneticPr fontId="11" type="noConversion"/>
  </si>
  <si>
    <r>
      <rPr>
        <sz val="11"/>
        <color theme="1"/>
        <rFont val="宋体"/>
        <family val="3"/>
        <charset val="134"/>
      </rPr>
      <t>冰箱储存</t>
    </r>
    <r>
      <rPr>
        <sz val="11"/>
        <color theme="1"/>
        <rFont val="Minion"/>
        <family val="1"/>
      </rPr>
      <t xml:space="preserve"> Freezer Storage</t>
    </r>
    <phoneticPr fontId="11" type="noConversion"/>
  </si>
  <si>
    <t>样品管理间 Sample Management Room</t>
    <phoneticPr fontId="11" type="noConversion"/>
  </si>
  <si>
    <r>
      <rPr>
        <sz val="11"/>
        <color theme="1"/>
        <rFont val="宋体"/>
        <family val="3"/>
        <charset val="134"/>
      </rPr>
      <t>强电间</t>
    </r>
    <r>
      <rPr>
        <sz val="11"/>
        <color theme="1"/>
        <rFont val="Minion"/>
        <family val="1"/>
      </rPr>
      <t xml:space="preserve"> Electrical Room</t>
    </r>
    <phoneticPr fontId="11" type="noConversion"/>
  </si>
  <si>
    <r>
      <rPr>
        <sz val="11"/>
        <color theme="1"/>
        <rFont val="宋体"/>
        <family val="3"/>
        <charset val="134"/>
      </rPr>
      <t>弱电间</t>
    </r>
    <r>
      <rPr>
        <sz val="11"/>
        <color theme="1"/>
        <rFont val="Minion"/>
        <family val="1"/>
      </rPr>
      <t xml:space="preserve"> IDF</t>
    </r>
    <phoneticPr fontId="11" type="noConversion"/>
  </si>
  <si>
    <r>
      <rPr>
        <sz val="11"/>
        <color theme="1"/>
        <rFont val="宋体"/>
        <family val="3"/>
        <charset val="134"/>
      </rPr>
      <t>男卫</t>
    </r>
    <r>
      <rPr>
        <sz val="11"/>
        <color theme="1"/>
        <rFont val="Minion"/>
        <family val="1"/>
      </rPr>
      <t xml:space="preserve"> Male Toilet</t>
    </r>
    <phoneticPr fontId="11" type="noConversion"/>
  </si>
  <si>
    <r>
      <rPr>
        <sz val="11"/>
        <color theme="1"/>
        <rFont val="宋体"/>
        <family val="3"/>
        <charset val="134"/>
      </rPr>
      <t>洁具间</t>
    </r>
    <r>
      <rPr>
        <sz val="11"/>
        <color theme="1"/>
        <rFont val="Minion"/>
        <family val="1"/>
      </rPr>
      <t xml:space="preserve"> Janitor Room</t>
    </r>
    <phoneticPr fontId="11" type="noConversion"/>
  </si>
  <si>
    <r>
      <rPr>
        <sz val="11"/>
        <color theme="1"/>
        <rFont val="宋体"/>
        <family val="3"/>
        <charset val="134"/>
      </rPr>
      <t>女卫</t>
    </r>
    <r>
      <rPr>
        <sz val="11"/>
        <color theme="1"/>
        <rFont val="Minion"/>
        <family val="1"/>
      </rPr>
      <t xml:space="preserve"> Female Toilet</t>
    </r>
    <phoneticPr fontId="11" type="noConversion"/>
  </si>
  <si>
    <r>
      <rPr>
        <sz val="11"/>
        <color theme="1"/>
        <rFont val="宋体"/>
        <family val="3"/>
        <charset val="134"/>
      </rPr>
      <t>备用间</t>
    </r>
    <r>
      <rPr>
        <sz val="11"/>
        <color theme="1"/>
        <rFont val="Minion"/>
        <family val="1"/>
      </rPr>
      <t xml:space="preserve"> Spare Room</t>
    </r>
    <phoneticPr fontId="11" type="noConversion"/>
  </si>
  <si>
    <r>
      <rPr>
        <sz val="11"/>
        <color theme="1"/>
        <rFont val="宋体"/>
        <family val="3"/>
        <charset val="134"/>
      </rPr>
      <t>打印间</t>
    </r>
    <r>
      <rPr>
        <sz val="11"/>
        <color theme="1"/>
        <rFont val="Minion"/>
        <family val="1"/>
      </rPr>
      <t xml:space="preserve"> Printing Room</t>
    </r>
    <phoneticPr fontId="11" type="noConversion"/>
  </si>
  <si>
    <t xml:space="preserve">文档暂存室 Doc Temporary Storage Room </t>
    <phoneticPr fontId="11" type="noConversion"/>
  </si>
  <si>
    <r>
      <t xml:space="preserve"> R&amp;D-</t>
    </r>
    <r>
      <rPr>
        <sz val="11"/>
        <color theme="1"/>
        <rFont val="宋体"/>
        <family val="3"/>
        <charset val="134"/>
      </rPr>
      <t>试剂准备间</t>
    </r>
    <r>
      <rPr>
        <sz val="11"/>
        <color theme="1"/>
        <rFont val="Minion"/>
        <family val="1"/>
      </rPr>
      <t xml:space="preserve"> R&amp;D-Reagent Preparation Room</t>
    </r>
    <phoneticPr fontId="11" type="noConversion"/>
  </si>
  <si>
    <r>
      <t xml:space="preserve">R&amp;D-Cobas </t>
    </r>
    <r>
      <rPr>
        <sz val="11"/>
        <color theme="1"/>
        <rFont val="宋体"/>
        <family val="3"/>
        <charset val="134"/>
      </rPr>
      <t>实验室</t>
    </r>
    <r>
      <rPr>
        <sz val="11"/>
        <color theme="1"/>
        <rFont val="Minion"/>
        <family val="1"/>
      </rPr>
      <t xml:space="preserve"> R&amp;D-Cobas Lab</t>
    </r>
    <phoneticPr fontId="11" type="noConversion"/>
  </si>
  <si>
    <r>
      <t xml:space="preserve">IDF </t>
    </r>
    <r>
      <rPr>
        <sz val="11"/>
        <color theme="1"/>
        <rFont val="宋体"/>
        <family val="3"/>
        <charset val="134"/>
      </rPr>
      <t>弱电间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</si>
  <si>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更衣室</t>
    </r>
    <r>
      <rPr>
        <sz val="11"/>
        <color theme="1"/>
        <rFont val="Minion"/>
        <family val="1"/>
      </rPr>
      <t xml:space="preserve">  R&amp;D-Changing Room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</si>
  <si>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研讨间</t>
    </r>
    <r>
      <rPr>
        <sz val="11"/>
        <color theme="1"/>
        <rFont val="Minion"/>
        <family val="1"/>
      </rPr>
      <t xml:space="preserve"> R&amp;D-Workshop</t>
    </r>
    <phoneticPr fontId="11" type="noConversion"/>
  </si>
  <si>
    <r>
      <rPr>
        <sz val="11"/>
        <color theme="1"/>
        <rFont val="宋体"/>
        <family val="3"/>
        <charset val="134"/>
      </rPr>
      <t>设备间</t>
    </r>
    <r>
      <rPr>
        <sz val="11"/>
        <color theme="1"/>
        <rFont val="Minion"/>
        <family val="1"/>
      </rPr>
      <t xml:space="preserve"> Equipment  Room</t>
    </r>
    <phoneticPr fontId="11" type="noConversion"/>
  </si>
  <si>
    <r>
      <rPr>
        <sz val="11"/>
        <color theme="1"/>
        <rFont val="宋体"/>
        <family val="3"/>
        <charset val="134"/>
      </rPr>
      <t>研发部</t>
    </r>
    <r>
      <rPr>
        <sz val="11"/>
        <color theme="1"/>
        <rFont val="Minion"/>
        <family val="1"/>
      </rPr>
      <t xml:space="preserve"> CPS R&amp;D Suzhou 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</si>
  <si>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储藏室</t>
    </r>
    <r>
      <rPr>
        <sz val="11"/>
        <color theme="1"/>
        <rFont val="Minion"/>
        <family val="1"/>
      </rPr>
      <t xml:space="preserve"> R&amp;D-Storage Room</t>
    </r>
    <phoneticPr fontId="11" type="noConversion"/>
  </si>
  <si>
    <r>
      <t>QC-</t>
    </r>
    <r>
      <rPr>
        <sz val="11"/>
        <color theme="1"/>
        <rFont val="宋体"/>
        <family val="3"/>
        <charset val="134"/>
      </rPr>
      <t>样品留存间（</t>
    </r>
    <r>
      <rPr>
        <sz val="11"/>
        <color theme="1"/>
        <rFont val="Minion"/>
        <family val="1"/>
      </rPr>
      <t>(2-8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>)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Minion"/>
        <family val="1"/>
      </rPr>
      <t xml:space="preserve"> QC-Sample Retention((2-8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Minion"/>
        <family val="1"/>
      </rPr>
      <t>))</t>
    </r>
    <phoneticPr fontId="11" type="noConversion"/>
  </si>
  <si>
    <r>
      <t xml:space="preserve"> R&amp;D-</t>
    </r>
    <r>
      <rPr>
        <sz val="11"/>
        <color theme="1"/>
        <rFont val="宋体"/>
        <family val="3"/>
        <charset val="134"/>
      </rPr>
      <t>耗材准备间</t>
    </r>
    <r>
      <rPr>
        <sz val="11"/>
        <color theme="1"/>
        <rFont val="Minion"/>
        <family val="1"/>
      </rPr>
      <t xml:space="preserve"> R&amp;D-Consumables Preparation Room</t>
    </r>
    <phoneticPr fontId="11" type="noConversion"/>
  </si>
  <si>
    <r>
      <rPr>
        <sz val="11"/>
        <color theme="1"/>
        <rFont val="宋体"/>
        <family val="3"/>
        <charset val="134"/>
      </rPr>
      <t>实验室通道</t>
    </r>
    <r>
      <rPr>
        <sz val="11"/>
        <color theme="1"/>
        <rFont val="Minion"/>
        <family val="1"/>
      </rPr>
      <t>Corridor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</si>
  <si>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更衣间</t>
    </r>
    <r>
      <rPr>
        <sz val="11"/>
        <color theme="1"/>
        <rFont val="Minion"/>
        <family val="1"/>
      </rPr>
      <t xml:space="preserve"> R&amp;D-Changing Room</t>
    </r>
    <phoneticPr fontId="11" type="noConversion"/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</si>
  <si>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Minion"/>
        <family val="1"/>
      </rPr>
      <t xml:space="preserve"> Corridor 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</si>
  <si>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冷库</t>
    </r>
    <r>
      <rPr>
        <sz val="11"/>
        <color theme="1"/>
        <rFont val="Minion"/>
        <family val="1"/>
      </rPr>
      <t xml:space="preserve"> R&amp;D-Cold Room 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</si>
  <si>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化学实验室</t>
    </r>
    <r>
      <rPr>
        <sz val="11"/>
        <color theme="1"/>
        <rFont val="Minion"/>
        <family val="1"/>
      </rPr>
      <t xml:space="preserve"> R&amp;D-Chemical Lab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</si>
  <si>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会议室</t>
    </r>
    <r>
      <rPr>
        <sz val="11"/>
        <color theme="1"/>
        <rFont val="Minion"/>
        <family val="1"/>
      </rPr>
      <t xml:space="preserve"> R&amp;D-Meeting Room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</si>
  <si>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打印室</t>
    </r>
    <r>
      <rPr>
        <sz val="11"/>
        <color theme="1"/>
        <rFont val="Minion"/>
        <family val="1"/>
      </rPr>
      <t xml:space="preserve"> R&amp;D-Printer Room</t>
    </r>
    <phoneticPr fontId="11" type="noConversion"/>
  </si>
  <si>
    <r>
      <rPr>
        <sz val="11"/>
        <color theme="1"/>
        <rFont val="宋体"/>
        <family val="3"/>
        <charset val="134"/>
      </rPr>
      <t>纯水间</t>
    </r>
    <r>
      <rPr>
        <sz val="11"/>
        <color theme="1"/>
        <rFont val="Minion"/>
        <family val="1"/>
      </rPr>
      <t xml:space="preserve"> PW Room</t>
    </r>
    <phoneticPr fontId="11" type="noConversion"/>
  </si>
  <si>
    <r>
      <t>R&amp;D-</t>
    </r>
    <r>
      <rPr>
        <sz val="11"/>
        <color theme="1"/>
        <rFont val="宋体"/>
        <family val="3"/>
        <charset val="134"/>
      </rPr>
      <t>高压灭菌室</t>
    </r>
    <r>
      <rPr>
        <sz val="11"/>
        <color theme="1"/>
        <rFont val="Minion"/>
        <family val="1"/>
      </rPr>
      <t xml:space="preserve"> R&amp;D-Autoclave Lock</t>
    </r>
    <phoneticPr fontId="11" type="noConversion"/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</si>
  <si>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Minion"/>
        <family val="1"/>
      </rPr>
      <t xml:space="preserve"> Corridor</t>
    </r>
    <phoneticPr fontId="11" type="noConversion"/>
  </si>
  <si>
    <r>
      <rPr>
        <sz val="11"/>
        <color theme="1"/>
        <rFont val="宋体"/>
        <family val="3"/>
        <charset val="134"/>
      </rPr>
      <t>排烟机房</t>
    </r>
    <r>
      <rPr>
        <sz val="11"/>
        <color theme="1"/>
        <rFont val="Minion"/>
        <family val="1"/>
      </rPr>
      <t xml:space="preserve"> Desmoke   </t>
    </r>
    <phoneticPr fontId="11" type="noConversion"/>
  </si>
  <si>
    <r>
      <rPr>
        <sz val="11"/>
        <color theme="1"/>
        <rFont val="宋体"/>
        <family val="3"/>
        <charset val="134"/>
      </rPr>
      <t>空调机房</t>
    </r>
    <r>
      <rPr>
        <sz val="11"/>
        <color theme="1"/>
        <rFont val="Minion"/>
        <family val="1"/>
      </rPr>
      <t xml:space="preserve"> HVAC</t>
    </r>
    <phoneticPr fontId="11" type="noConversion"/>
  </si>
  <si>
    <r>
      <rPr>
        <sz val="11"/>
        <color theme="1"/>
        <rFont val="宋体"/>
        <family val="3"/>
        <charset val="134"/>
      </rPr>
      <t>热水房</t>
    </r>
    <r>
      <rPr>
        <sz val="11"/>
        <color theme="1"/>
        <rFont val="Minion"/>
        <family val="1"/>
      </rPr>
      <t xml:space="preserve"> Hot Water Room</t>
    </r>
    <phoneticPr fontId="11" type="noConversion"/>
  </si>
  <si>
    <r>
      <t>9#</t>
    </r>
    <r>
      <rPr>
        <sz val="11"/>
        <color theme="1"/>
        <rFont val="宋体"/>
        <family val="3"/>
        <charset val="134"/>
      </rPr>
      <t>电梯机房</t>
    </r>
    <r>
      <rPr>
        <sz val="11"/>
        <color theme="1"/>
        <rFont val="Minion"/>
        <family val="1"/>
      </rPr>
      <t xml:space="preserve"> 9# Elevator</t>
    </r>
    <phoneticPr fontId="11" type="noConversion"/>
  </si>
  <si>
    <r>
      <rPr>
        <sz val="10"/>
        <color rgb="FF000000"/>
        <rFont val="宋体"/>
        <family val="3"/>
        <charset val="134"/>
      </rPr>
      <t>办公室</t>
    </r>
    <r>
      <rPr>
        <sz val="10"/>
        <color rgb="FF000000"/>
        <rFont val="Imago"/>
      </rPr>
      <t xml:space="preserve"> Of</t>
    </r>
    <r>
      <rPr>
        <sz val="11"/>
        <color rgb="FF000000"/>
        <rFont val="SimSun"/>
        <charset val="134"/>
      </rPr>
      <t>fice</t>
    </r>
    <phoneticPr fontId="11" type="noConversion"/>
  </si>
  <si>
    <r>
      <t xml:space="preserve">3F </t>
    </r>
    <r>
      <rPr>
        <sz val="10"/>
        <color rgb="FF000000"/>
        <rFont val="宋体"/>
        <family val="3"/>
        <charset val="134"/>
      </rPr>
      <t>二层</t>
    </r>
    <phoneticPr fontId="11" type="noConversion"/>
  </si>
  <si>
    <r>
      <t>9#</t>
    </r>
    <r>
      <rPr>
        <sz val="10"/>
        <color rgb="FF000000"/>
        <rFont val="宋体"/>
        <family val="3"/>
        <charset val="134"/>
      </rPr>
      <t>电梯</t>
    </r>
    <r>
      <rPr>
        <sz val="10"/>
        <color rgb="FF000000"/>
        <rFont val="Imago"/>
      </rPr>
      <t xml:space="preserve"> 9#Elevator</t>
    </r>
    <phoneticPr fontId="11" type="noConversion"/>
  </si>
  <si>
    <r>
      <rPr>
        <sz val="10"/>
        <color rgb="FF000000"/>
        <rFont val="宋体"/>
        <family val="3"/>
        <charset val="134"/>
      </rPr>
      <t>办公室</t>
    </r>
    <r>
      <rPr>
        <sz val="10"/>
        <color rgb="FF000000"/>
        <rFont val="Imago"/>
      </rPr>
      <t xml:space="preserve"> Office</t>
    </r>
    <phoneticPr fontId="11" type="noConversion"/>
  </si>
  <si>
    <r>
      <rPr>
        <sz val="10"/>
        <color rgb="FF000000"/>
        <rFont val="宋体"/>
        <family val="3"/>
        <charset val="134"/>
      </rPr>
      <t>走道</t>
    </r>
    <r>
      <rPr>
        <sz val="10"/>
        <color rgb="FF000000"/>
        <rFont val="Imago"/>
      </rPr>
      <t xml:space="preserve"> Corridor</t>
    </r>
    <phoneticPr fontId="11" type="noConversion"/>
  </si>
  <si>
    <r>
      <t xml:space="preserve">5F </t>
    </r>
    <r>
      <rPr>
        <sz val="10"/>
        <color rgb="FF000000"/>
        <rFont val="宋体"/>
        <family val="3"/>
        <charset val="134"/>
      </rPr>
      <t>二层</t>
    </r>
    <phoneticPr fontId="11" type="noConversion"/>
  </si>
  <si>
    <t>609</t>
    <phoneticPr fontId="11" type="noConversion"/>
  </si>
  <si>
    <r>
      <rPr>
        <sz val="11"/>
        <color theme="1"/>
        <rFont val="Minion"/>
        <family val="1"/>
      </rPr>
      <t>10#</t>
    </r>
    <r>
      <rPr>
        <sz val="11"/>
        <color theme="1"/>
        <rFont val="宋体"/>
        <family val="3"/>
        <charset val="134"/>
      </rPr>
      <t>电梯机房</t>
    </r>
    <r>
      <rPr>
        <sz val="11"/>
        <color theme="1"/>
        <rFont val="Minion"/>
        <family val="1"/>
      </rPr>
      <t xml:space="preserve"> Elevator</t>
    </r>
    <phoneticPr fontId="11" type="noConversion"/>
  </si>
  <si>
    <r>
      <rPr>
        <sz val="10"/>
        <color rgb="FF000000"/>
        <rFont val="宋体"/>
        <family val="3"/>
        <charset val="134"/>
      </rPr>
      <t>包装材料测试实验室</t>
    </r>
    <r>
      <rPr>
        <sz val="10"/>
        <color rgb="FF000000"/>
        <rFont val="Imago"/>
      </rPr>
      <t xml:space="preserve"> Packaging Material Inspection Room </t>
    </r>
    <phoneticPr fontId="11" type="noConversion"/>
  </si>
  <si>
    <t>508A</t>
    <phoneticPr fontId="18" type="noConversion"/>
  </si>
  <si>
    <r>
      <rPr>
        <sz val="10"/>
        <color rgb="FF000000"/>
        <rFont val="宋体"/>
        <family val="3"/>
        <charset val="134"/>
      </rPr>
      <t>实验室通道</t>
    </r>
    <r>
      <rPr>
        <sz val="10"/>
        <color rgb="FF000000"/>
        <rFont val="Imago"/>
      </rPr>
      <t>Corridor</t>
    </r>
    <phoneticPr fontId="11" type="noConversion"/>
  </si>
  <si>
    <t>r</t>
    <phoneticPr fontId="11" type="noConversion"/>
  </si>
  <si>
    <t>HVAC</t>
    <phoneticPr fontId="11" type="noConversion"/>
  </si>
  <si>
    <r>
      <rPr>
        <sz val="10"/>
        <color rgb="FF000000"/>
        <rFont val="宋体"/>
        <family val="3"/>
        <charset val="134"/>
      </rPr>
      <t>走道</t>
    </r>
    <r>
      <rPr>
        <sz val="10"/>
        <color rgb="FF000000"/>
        <rFont val="Imago"/>
      </rPr>
      <t>CORRIDOR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</si>
  <si>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r>
      <rPr>
        <sz val="10"/>
        <color rgb="FF000000"/>
        <rFont val="宋体"/>
        <family val="3"/>
        <charset val="134"/>
      </rPr>
      <t>门厅</t>
    </r>
    <r>
      <rPr>
        <sz val="10"/>
        <color rgb="FF000000"/>
        <rFont val="Imago"/>
      </rPr>
      <t>LOBBY</t>
    </r>
    <r>
      <rPr>
        <sz val="10"/>
        <color rgb="FF000000"/>
        <rFont val="宋体"/>
        <family val="3"/>
        <charset val="134"/>
      </rPr>
      <t xml:space="preserve">
</t>
    </r>
    <r>
      <rPr>
        <sz val="11"/>
        <color rgb="FF000000"/>
        <rFont val="SimSun"/>
        <charset val="134"/>
      </rPr>
      <t xml:space="preserve">
</t>
    </r>
    <phoneticPr fontId="11" type="noConversion"/>
  </si>
  <si>
    <r>
      <rPr>
        <sz val="10"/>
        <color rgb="FF000000"/>
        <rFont val="宋体"/>
        <family val="3"/>
        <charset val="134"/>
      </rPr>
      <t>档案室</t>
    </r>
    <r>
      <rPr>
        <sz val="10"/>
        <color rgb="FF000000"/>
        <rFont val="Imago"/>
      </rPr>
      <t>ARCHIVE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</si>
  <si>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r>
      <rPr>
        <b/>
        <sz val="10"/>
        <color rgb="FF000000"/>
        <rFont val="Imago"/>
      </rPr>
      <t>IT</t>
    </r>
    <r>
      <rPr>
        <b/>
        <sz val="10"/>
        <color rgb="FF000000"/>
        <rFont val="宋体"/>
        <family val="3"/>
        <charset val="134"/>
      </rPr>
      <t>操作室</t>
    </r>
    <r>
      <rPr>
        <b/>
        <sz val="10"/>
        <color rgb="FF000000"/>
        <rFont val="Imago"/>
      </rPr>
      <t xml:space="preserve"> </t>
    </r>
    <r>
      <rPr>
        <sz val="10"/>
        <color rgb="FF000000"/>
        <rFont val="Imago"/>
      </rPr>
      <t xml:space="preserve">IT OPERATION RM </t>
    </r>
    <r>
      <rPr>
        <sz val="11"/>
        <color rgb="FF000000"/>
        <rFont val="SimSun"/>
        <charset val="134"/>
      </rPr>
      <t xml:space="preserve">
</t>
    </r>
    <phoneticPr fontId="11" type="noConversion"/>
  </si>
  <si>
    <r>
      <rPr>
        <sz val="10"/>
        <color rgb="FF000000"/>
        <rFont val="宋体"/>
        <family val="3"/>
        <charset val="134"/>
      </rPr>
      <t>管道井</t>
    </r>
    <r>
      <rPr>
        <sz val="10"/>
        <color rgb="FF000000"/>
        <rFont val="Imago"/>
      </rPr>
      <t>SHAFT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</si>
  <si>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r>
      <rPr>
        <sz val="10"/>
        <color rgb="FF000000"/>
        <rFont val="宋体"/>
        <family val="3"/>
        <charset val="134"/>
      </rPr>
      <t>休息室</t>
    </r>
    <r>
      <rPr>
        <sz val="10"/>
        <color rgb="FF000000"/>
        <rFont val="Imago"/>
      </rPr>
      <t>BREAK RM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</si>
  <si>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t>1F 一层</t>
    <phoneticPr fontId="11" type="noConversion"/>
  </si>
  <si>
    <t>备料间 Material Staging</t>
    <phoneticPr fontId="18" type="noConversion"/>
  </si>
  <si>
    <r>
      <rPr>
        <sz val="11"/>
        <color theme="1"/>
        <rFont val="Minion"/>
        <family val="1"/>
      </rPr>
      <t>1#</t>
    </r>
    <r>
      <rPr>
        <sz val="11"/>
        <color theme="1"/>
        <rFont val="宋体"/>
        <family val="3"/>
        <charset val="134"/>
      </rPr>
      <t>电梯间</t>
    </r>
    <r>
      <rPr>
        <sz val="11"/>
        <color theme="1"/>
        <rFont val="Minion"/>
        <family val="1"/>
      </rPr>
      <t xml:space="preserve"> 1#Elevator </t>
    </r>
    <phoneticPr fontId="18" type="noConversion"/>
  </si>
  <si>
    <r>
      <rPr>
        <sz val="11"/>
        <color theme="1"/>
        <rFont val="宋体"/>
        <family val="3"/>
        <charset val="134"/>
      </rPr>
      <t>缓冲间</t>
    </r>
    <r>
      <rPr>
        <sz val="11"/>
        <color theme="1"/>
        <rFont val="Minion"/>
        <family val="3"/>
        <charset val="134"/>
      </rPr>
      <t xml:space="preserve"> Buffer</t>
    </r>
    <phoneticPr fontId="18" type="noConversion"/>
  </si>
  <si>
    <t>2F 二层</t>
    <phoneticPr fontId="11" type="noConversion"/>
  </si>
  <si>
    <r>
      <rPr>
        <sz val="11"/>
        <color theme="1"/>
        <rFont val="宋体"/>
        <family val="3"/>
        <charset val="134"/>
      </rPr>
      <t>楼梯间三（东北）</t>
    </r>
    <r>
      <rPr>
        <sz val="11"/>
        <color theme="1"/>
        <rFont val="Minion"/>
        <family val="1"/>
      </rPr>
      <t xml:space="preserve"> Staircase 3 (North-East)</t>
    </r>
    <phoneticPr fontId="11" type="noConversion"/>
  </si>
  <si>
    <r>
      <rPr>
        <sz val="11"/>
        <color theme="1"/>
        <rFont val="宋体"/>
        <family val="3"/>
        <charset val="134"/>
      </rPr>
      <t>设备间</t>
    </r>
    <r>
      <rPr>
        <sz val="11"/>
        <color theme="1"/>
        <rFont val="Minion"/>
        <family val="1"/>
      </rPr>
      <t xml:space="preserve"> Technical Room</t>
    </r>
    <phoneticPr fontId="11" type="noConversion"/>
  </si>
  <si>
    <t>管井 Pipe Shaft</t>
    <phoneticPr fontId="11" type="noConversion"/>
  </si>
  <si>
    <t>取样室 Sampling Room</t>
    <phoneticPr fontId="11" type="noConversion"/>
  </si>
  <si>
    <r>
      <rPr>
        <sz val="11"/>
        <color theme="1"/>
        <rFont val="宋体"/>
        <family val="3"/>
        <charset val="134"/>
      </rPr>
      <t>人员前室</t>
    </r>
    <r>
      <rPr>
        <sz val="11"/>
        <color theme="1"/>
        <rFont val="Minion"/>
        <family val="1"/>
      </rPr>
      <t xml:space="preserve"> PAL</t>
    </r>
    <phoneticPr fontId="11" type="noConversion"/>
  </si>
  <si>
    <t>物料气闸室 Material Airlock</t>
    <phoneticPr fontId="11" type="noConversion"/>
  </si>
  <si>
    <t>109</t>
    <phoneticPr fontId="11" type="noConversion"/>
  </si>
  <si>
    <t>更衣室 Gowning</t>
    <phoneticPr fontId="11" type="noConversion"/>
  </si>
  <si>
    <r>
      <rPr>
        <sz val="11"/>
        <color theme="1"/>
        <rFont val="宋体"/>
        <family val="3"/>
        <charset val="134"/>
      </rPr>
      <t>废物存放</t>
    </r>
    <r>
      <rPr>
        <sz val="11"/>
        <color theme="1"/>
        <rFont val="Minion"/>
        <family val="1"/>
      </rPr>
      <t xml:space="preserve"> Waste Storage</t>
    </r>
    <phoneticPr fontId="11" type="noConversion"/>
  </si>
  <si>
    <t>112</t>
    <phoneticPr fontId="11" type="noConversion"/>
  </si>
  <si>
    <r>
      <rPr>
        <sz val="11"/>
        <color theme="1"/>
        <rFont val="宋体"/>
        <family val="3"/>
        <charset val="134"/>
      </rPr>
      <t>楼梯间四（东南）</t>
    </r>
    <r>
      <rPr>
        <sz val="11"/>
        <color theme="1"/>
        <rFont val="Minion"/>
        <family val="1"/>
      </rPr>
      <t xml:space="preserve"> Staircase 4 (South-East)</t>
    </r>
    <phoneticPr fontId="11" type="noConversion"/>
  </si>
  <si>
    <t>113</t>
    <phoneticPr fontId="11" type="noConversion"/>
  </si>
  <si>
    <r>
      <rPr>
        <sz val="11"/>
        <color theme="1"/>
        <rFont val="宋体"/>
        <family val="3"/>
        <charset val="134"/>
      </rPr>
      <t>驾驶员休息室</t>
    </r>
    <r>
      <rPr>
        <sz val="11"/>
        <color theme="1"/>
        <rFont val="Minion"/>
        <family val="1"/>
      </rPr>
      <t xml:space="preserve"> Driver Room</t>
    </r>
    <phoneticPr fontId="11" type="noConversion"/>
  </si>
  <si>
    <t>113A</t>
    <phoneticPr fontId="11" type="noConversion"/>
  </si>
  <si>
    <r>
      <rPr>
        <sz val="11"/>
        <color theme="1"/>
        <rFont val="宋体"/>
        <family val="3"/>
        <charset val="134"/>
      </rPr>
      <t>卫生间</t>
    </r>
    <r>
      <rPr>
        <sz val="11"/>
        <color theme="1"/>
        <rFont val="Minion"/>
        <family val="1"/>
      </rPr>
      <t xml:space="preserve"> Toilet</t>
    </r>
    <phoneticPr fontId="11" type="noConversion"/>
  </si>
  <si>
    <t>115</t>
    <phoneticPr fontId="11" type="noConversion"/>
  </si>
  <si>
    <t>116</t>
    <phoneticPr fontId="11" type="noConversion"/>
  </si>
  <si>
    <r>
      <rPr>
        <sz val="11"/>
        <color theme="1"/>
        <rFont val="宋体"/>
        <family val="3"/>
        <charset val="134"/>
      </rPr>
      <t>物料缓冲间</t>
    </r>
    <r>
      <rPr>
        <sz val="11"/>
        <color theme="1"/>
        <rFont val="Minion"/>
        <family val="1"/>
      </rPr>
      <t xml:space="preserve"> Material Buffer</t>
    </r>
    <phoneticPr fontId="11" type="noConversion"/>
  </si>
  <si>
    <t>117</t>
    <phoneticPr fontId="11" type="noConversion"/>
  </si>
  <si>
    <t>物料缓冲间 Material Buffer</t>
    <phoneticPr fontId="11" type="noConversion"/>
  </si>
  <si>
    <t>118</t>
    <phoneticPr fontId="11" type="noConversion"/>
  </si>
  <si>
    <t>119</t>
    <phoneticPr fontId="11" type="noConversion"/>
  </si>
  <si>
    <r>
      <rPr>
        <sz val="11"/>
        <color theme="1"/>
        <rFont val="宋体"/>
        <family val="3"/>
        <charset val="134"/>
      </rPr>
      <t>物料缓冲间（冷库）</t>
    </r>
    <r>
      <rPr>
        <sz val="11"/>
        <color theme="1"/>
        <rFont val="Minion"/>
        <family val="1"/>
      </rPr>
      <t xml:space="preserve"> Material Buffer</t>
    </r>
    <r>
      <rPr>
        <sz val="11"/>
        <color theme="1"/>
        <rFont val="宋体"/>
        <family val="3"/>
        <charset val="134"/>
      </rPr>
      <t>（Cold Room）</t>
    </r>
    <phoneticPr fontId="11" type="noConversion"/>
  </si>
  <si>
    <r>
      <rPr>
        <sz val="11"/>
        <color theme="1"/>
        <rFont val="宋体"/>
        <family val="3"/>
        <charset val="134"/>
      </rPr>
      <t>室温高架库</t>
    </r>
    <r>
      <rPr>
        <sz val="11"/>
        <color theme="1"/>
        <rFont val="Minion"/>
        <family val="1"/>
      </rPr>
      <t xml:space="preserve"> High Bay Room Temperature Storage</t>
    </r>
    <phoneticPr fontId="11" type="noConversion"/>
  </si>
  <si>
    <t>128</t>
    <phoneticPr fontId="11" type="noConversion"/>
  </si>
  <si>
    <r>
      <rPr>
        <sz val="11"/>
        <color theme="1"/>
        <rFont val="宋体"/>
        <family val="3"/>
        <charset val="134"/>
      </rPr>
      <t>堆存区（丙类2项）</t>
    </r>
    <r>
      <rPr>
        <sz val="11"/>
        <color theme="1"/>
        <rFont val="Minion"/>
        <family val="1"/>
      </rPr>
      <t xml:space="preserve"> Block Storage (Class C2)</t>
    </r>
    <phoneticPr fontId="11" type="noConversion"/>
  </si>
  <si>
    <t>129</t>
    <phoneticPr fontId="11" type="noConversion"/>
  </si>
  <si>
    <r>
      <rPr>
        <sz val="11"/>
        <color theme="1"/>
        <rFont val="宋体"/>
        <family val="3"/>
        <charset val="134"/>
      </rPr>
      <t>楼梯间一（西北）</t>
    </r>
    <r>
      <rPr>
        <sz val="11"/>
        <color theme="1"/>
        <rFont val="Minion"/>
        <family val="1"/>
      </rPr>
      <t xml:space="preserve"> Staircase 1 (North-West)</t>
    </r>
    <phoneticPr fontId="11" type="noConversion"/>
  </si>
  <si>
    <t>130</t>
    <phoneticPr fontId="11" type="noConversion"/>
  </si>
  <si>
    <r>
      <rPr>
        <sz val="11"/>
        <color theme="1"/>
        <rFont val="宋体"/>
        <family val="3"/>
        <charset val="134"/>
      </rPr>
      <t>消防阀室</t>
    </r>
    <r>
      <rPr>
        <sz val="11"/>
        <color theme="1"/>
        <rFont val="Minion"/>
        <family val="1"/>
      </rPr>
      <t xml:space="preserve"> Sprinkler Valve Room</t>
    </r>
    <phoneticPr fontId="11" type="noConversion"/>
  </si>
  <si>
    <r>
      <rPr>
        <sz val="11"/>
        <color theme="1"/>
        <rFont val="宋体"/>
        <family val="3"/>
        <charset val="134"/>
      </rPr>
      <t>走道</t>
    </r>
    <r>
      <rPr>
        <sz val="11"/>
        <color theme="1"/>
        <rFont val="Minion"/>
        <family val="1"/>
      </rPr>
      <t xml:space="preserve">  Corridor</t>
    </r>
    <phoneticPr fontId="11" type="noConversion"/>
  </si>
  <si>
    <t>132</t>
    <phoneticPr fontId="11" type="noConversion"/>
  </si>
  <si>
    <r>
      <rPr>
        <sz val="11"/>
        <color theme="1"/>
        <rFont val="宋体"/>
        <family val="3"/>
        <charset val="134"/>
      </rPr>
      <t>楼梯间二（北）</t>
    </r>
    <r>
      <rPr>
        <sz val="11"/>
        <color theme="1"/>
        <rFont val="Minion"/>
        <family val="1"/>
      </rPr>
      <t xml:space="preserve"> Staircase 2  (North)</t>
    </r>
    <phoneticPr fontId="11" type="noConversion"/>
  </si>
  <si>
    <t>133</t>
    <phoneticPr fontId="11" type="noConversion"/>
  </si>
  <si>
    <t>138</t>
    <phoneticPr fontId="11" type="noConversion"/>
  </si>
  <si>
    <r>
      <rPr>
        <sz val="11"/>
        <color theme="1"/>
        <rFont val="宋体"/>
        <family val="3"/>
        <charset val="134"/>
      </rPr>
      <t>收发区</t>
    </r>
    <r>
      <rPr>
        <sz val="11"/>
        <color theme="1"/>
        <rFont val="Minion"/>
        <family val="1"/>
      </rPr>
      <t xml:space="preserve"> Shipping and Receiving</t>
    </r>
    <phoneticPr fontId="11" type="noConversion"/>
  </si>
  <si>
    <r>
      <rPr>
        <sz val="11"/>
        <color theme="1"/>
        <rFont val="宋体"/>
        <family val="3"/>
        <charset val="134"/>
      </rPr>
      <t>预冷室</t>
    </r>
    <r>
      <rPr>
        <sz val="11"/>
        <color theme="1"/>
        <rFont val="Minion"/>
        <family val="1"/>
      </rPr>
      <t xml:space="preserve"> Pre Cooling Room
</t>
    </r>
    <r>
      <rPr>
        <sz val="11"/>
        <color theme="1"/>
        <rFont val="宋体"/>
        <family val="3"/>
        <charset val="134"/>
      </rPr>
      <t/>
    </r>
    <phoneticPr fontId="11" type="noConversion"/>
  </si>
  <si>
    <t>1F-2#电梯 1F-2#Elevator</t>
    <phoneticPr fontId="11" type="noConversion"/>
  </si>
  <si>
    <t>1F-3#电梯 1F-3#Elevator</t>
    <phoneticPr fontId="11" type="noConversion"/>
  </si>
  <si>
    <r>
      <t>W1a-</t>
    </r>
    <r>
      <rPr>
        <sz val="10"/>
        <color rgb="FF000000"/>
        <rFont val="宋体"/>
        <family val="3"/>
        <charset val="134"/>
      </rPr>
      <t>丙烯酸乳胶漆涂料墙面</t>
    </r>
    <r>
      <rPr>
        <sz val="10"/>
        <color rgb="FF000000"/>
        <rFont val="Imago"/>
      </rPr>
      <t>(</t>
    </r>
    <r>
      <rPr>
        <sz val="10"/>
        <color rgb="FF000000"/>
        <rFont val="宋体"/>
        <family val="3"/>
        <charset val="134"/>
      </rPr>
      <t>实体墙</t>
    </r>
    <r>
      <rPr>
        <sz val="10"/>
        <color rgb="FF000000"/>
        <rFont val="Imago"/>
      </rPr>
      <t>)</t>
    </r>
    <phoneticPr fontId="11" type="noConversion"/>
  </si>
  <si>
    <r>
      <t>W1b/W3b</t>
    </r>
    <r>
      <rPr>
        <sz val="10"/>
        <color rgb="FF000000"/>
        <rFont val="宋体"/>
        <family val="3"/>
        <charset val="134"/>
      </rPr>
      <t>丙烯酸乳胶漆涂料墙面</t>
    </r>
    <r>
      <rPr>
        <sz val="10"/>
        <color rgb="FF000000"/>
        <rFont val="Imago"/>
      </rPr>
      <t>(</t>
    </r>
    <r>
      <rPr>
        <sz val="10"/>
        <color rgb="FF000000"/>
        <rFont val="宋体"/>
        <family val="3"/>
        <charset val="134"/>
      </rPr>
      <t>轻质隔墙</t>
    </r>
    <r>
      <rPr>
        <sz val="10"/>
        <color rgb="FF000000"/>
        <rFont val="Imago"/>
      </rPr>
      <t>)9M2/</t>
    </r>
    <r>
      <rPr>
        <sz val="10"/>
        <color rgb="FF000000"/>
        <rFont val="宋体"/>
        <family val="3"/>
        <charset val="134"/>
      </rPr>
      <t>无框玻璃隔断</t>
    </r>
    <phoneticPr fontId="11" type="noConversion"/>
  </si>
  <si>
    <t>W3b无框玻璃隔断</t>
    <phoneticPr fontId="11" type="noConversion"/>
  </si>
  <si>
    <r>
      <t>FUTURE OFFICE</t>
    </r>
    <r>
      <rPr>
        <sz val="10"/>
        <color rgb="FF000000"/>
        <rFont val="宋体"/>
        <family val="3"/>
        <charset val="134"/>
      </rPr>
      <t>预留办公室</t>
    </r>
    <phoneticPr fontId="11" type="noConversion"/>
  </si>
  <si>
    <r>
      <rPr>
        <sz val="10"/>
        <color rgb="FF000000"/>
        <rFont val="宋体"/>
        <family val="3"/>
        <charset val="134"/>
      </rPr>
      <t>楼梯间三（西北）</t>
    </r>
    <r>
      <rPr>
        <sz val="10"/>
        <color rgb="FF000000"/>
        <rFont val="Imago"/>
      </rPr>
      <t xml:space="preserve"> Staircase 3 (North-West)</t>
    </r>
    <phoneticPr fontId="11" type="noConversion"/>
  </si>
  <si>
    <t>S3水泥砂浆踢脚</t>
    <phoneticPr fontId="11" type="noConversion"/>
  </si>
  <si>
    <t>S1环氧踢脚</t>
    <phoneticPr fontId="11" type="noConversion"/>
  </si>
  <si>
    <t>S5乙烯基踢脚,2.5毫米厚</t>
    <phoneticPr fontId="11" type="noConversion"/>
  </si>
  <si>
    <t>S2拉丝不锈钢踢脚</t>
    <phoneticPr fontId="11" type="noConversion"/>
  </si>
  <si>
    <r>
      <t>F</t>
    </r>
    <r>
      <rPr>
        <sz val="11"/>
        <color rgb="FF000000"/>
        <rFont val="SimSun"/>
        <charset val="134"/>
      </rPr>
      <t>4</t>
    </r>
    <phoneticPr fontId="11" type="noConversion"/>
  </si>
  <si>
    <t>S5</t>
    <phoneticPr fontId="11" type="noConversion"/>
  </si>
  <si>
    <t xml:space="preserve">C1b
</t>
    <phoneticPr fontId="11" type="noConversion"/>
  </si>
  <si>
    <r>
      <t>F4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</si>
  <si>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r>
      <t>S</t>
    </r>
    <r>
      <rPr>
        <sz val="11"/>
        <color rgb="FF000000"/>
        <rFont val="Imago"/>
      </rPr>
      <t>5</t>
    </r>
    <phoneticPr fontId="11" type="noConversion"/>
  </si>
  <si>
    <r>
      <t>F</t>
    </r>
    <r>
      <rPr>
        <sz val="11"/>
        <color rgb="FF000000"/>
        <rFont val="Imago"/>
      </rPr>
      <t>4</t>
    </r>
    <phoneticPr fontId="11" type="noConversion"/>
  </si>
  <si>
    <r>
      <t>S</t>
    </r>
    <r>
      <rPr>
        <sz val="11"/>
        <color rgb="FF000000"/>
        <rFont val="Imago"/>
      </rPr>
      <t>1</t>
    </r>
    <phoneticPr fontId="11" type="noConversion"/>
  </si>
  <si>
    <r>
      <t>F</t>
    </r>
    <r>
      <rPr>
        <sz val="11"/>
        <color rgb="FF000000"/>
        <rFont val="Imago"/>
      </rPr>
      <t>12</t>
    </r>
    <phoneticPr fontId="11" type="noConversion"/>
  </si>
  <si>
    <t xml:space="preserve">W2 </t>
    <phoneticPr fontId="11" type="noConversion"/>
  </si>
  <si>
    <t xml:space="preserve">C1b </t>
    <phoneticPr fontId="11" type="noConversion"/>
  </si>
  <si>
    <t>W8</t>
    <phoneticPr fontId="11" type="noConversion"/>
  </si>
  <si>
    <t xml:space="preserve">W8
</t>
    <phoneticPr fontId="11" type="noConversion"/>
  </si>
  <si>
    <t xml:space="preserve">C1c
</t>
    <phoneticPr fontId="11" type="noConversion"/>
  </si>
  <si>
    <r>
      <rPr>
        <sz val="10"/>
        <color rgb="FF000000"/>
        <rFont val="宋体"/>
        <family val="3"/>
        <charset val="134"/>
      </rPr>
      <t>管井</t>
    </r>
    <r>
      <rPr>
        <sz val="10"/>
        <color rgb="FF000000"/>
        <rFont val="Imago"/>
      </rPr>
      <t xml:space="preserve"> Shaft</t>
    </r>
    <phoneticPr fontId="11" type="noConversion"/>
  </si>
  <si>
    <t>4#电梯 4#Elevator</t>
    <phoneticPr fontId="18" type="noConversion"/>
  </si>
  <si>
    <t xml:space="preserve">1F </t>
    <phoneticPr fontId="11" type="noConversion"/>
  </si>
  <si>
    <t xml:space="preserve">2F </t>
    <phoneticPr fontId="11" type="noConversion"/>
  </si>
  <si>
    <t xml:space="preserve">3F </t>
    <phoneticPr fontId="11" type="noConversion"/>
  </si>
  <si>
    <t>后勤办公面积</t>
    <phoneticPr fontId="11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</si>
  <si>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Minion"/>
        <family val="1"/>
      </rPr>
      <t xml:space="preserve"> Pipe Shaft </t>
    </r>
    <phoneticPr fontId="18" type="noConversion"/>
  </si>
  <si>
    <t>212-C</t>
    <phoneticPr fontId="11" type="noConversion"/>
  </si>
  <si>
    <r>
      <rPr>
        <sz val="11"/>
        <color theme="1"/>
        <rFont val="宋体"/>
        <family val="3"/>
        <charset val="134"/>
      </rPr>
      <t>管道井</t>
    </r>
    <r>
      <rPr>
        <sz val="11"/>
        <color theme="1"/>
        <rFont val="Minion"/>
        <family val="1"/>
      </rPr>
      <t xml:space="preserve">Pipe Shaft </t>
    </r>
    <phoneticPr fontId="18" type="noConversion"/>
  </si>
  <si>
    <t>212-A</t>
    <phoneticPr fontId="11" type="noConversion"/>
  </si>
  <si>
    <r>
      <rPr>
        <sz val="11"/>
        <color theme="1"/>
        <rFont val="宋体"/>
        <family val="3"/>
        <charset val="134"/>
      </rPr>
      <t>前室</t>
    </r>
    <r>
      <rPr>
        <sz val="11"/>
        <color theme="1"/>
        <rFont val="Calibri"/>
        <family val="2"/>
      </rPr>
      <t xml:space="preserve"> Locker</t>
    </r>
    <phoneticPr fontId="18" type="noConversion"/>
  </si>
  <si>
    <r>
      <rPr>
        <sz val="11"/>
        <color theme="1"/>
        <rFont val="宋体"/>
        <family val="3"/>
        <charset val="134"/>
      </rPr>
      <t>甲类毒剂仓库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Minion"/>
        <family val="1"/>
      </rPr>
      <t>Class A(1,2,5,6 item)toxic agent storage</t>
    </r>
    <phoneticPr fontId="18" type="noConversion"/>
  </si>
  <si>
    <r>
      <t xml:space="preserve">自行车库1 </t>
    </r>
    <r>
      <rPr>
        <sz val="11"/>
        <rFont val="Minion"/>
        <family val="1"/>
      </rPr>
      <t>Bicycle Storage 1</t>
    </r>
    <phoneticPr fontId="11" type="noConversion"/>
  </si>
  <si>
    <t>1F</t>
    <phoneticPr fontId="11" type="noConversion"/>
  </si>
  <si>
    <t>F4</t>
    <phoneticPr fontId="11" type="noConversion"/>
  </si>
  <si>
    <t>S5</t>
    <phoneticPr fontId="11" type="noConversion"/>
  </si>
  <si>
    <t>C1b/C2/C4</t>
    <phoneticPr fontId="11" type="noConversion"/>
  </si>
  <si>
    <t>C1d/C2</t>
  </si>
  <si>
    <t>C1d/C2</t>
    <phoneticPr fontId="11" type="noConversion"/>
  </si>
  <si>
    <t>W8</t>
    <phoneticPr fontId="11" type="noConversion"/>
  </si>
  <si>
    <t>F2</t>
    <phoneticPr fontId="11" type="noConversion"/>
  </si>
  <si>
    <t>W1</t>
    <phoneticPr fontId="11" type="noConversion"/>
  </si>
  <si>
    <t>C4</t>
    <phoneticPr fontId="11" type="noConversion"/>
  </si>
  <si>
    <t>S7</t>
    <phoneticPr fontId="11" type="noConversion"/>
  </si>
  <si>
    <r>
      <t>F8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Imago"/>
      </rPr>
      <t>a)</t>
    </r>
    <phoneticPr fontId="11" type="noConversion"/>
  </si>
  <si>
    <t>S1</t>
    <phoneticPr fontId="11" type="noConversion"/>
  </si>
  <si>
    <t>C1b/C2</t>
    <phoneticPr fontId="11" type="noConversion"/>
  </si>
  <si>
    <t>S6</t>
    <phoneticPr fontId="11" type="noConversion"/>
  </si>
  <si>
    <t>C1d/C2</t>
    <phoneticPr fontId="11" type="noConversion"/>
  </si>
  <si>
    <t>F12</t>
    <phoneticPr fontId="11" type="noConversion"/>
  </si>
  <si>
    <t>W4</t>
    <phoneticPr fontId="11" type="noConversion"/>
  </si>
  <si>
    <t xml:space="preserve">C6 </t>
    <phoneticPr fontId="11" type="noConversion"/>
  </si>
  <si>
    <t>W2</t>
    <phoneticPr fontId="11" type="noConversion"/>
  </si>
  <si>
    <t>C5</t>
    <phoneticPr fontId="11" type="noConversion"/>
  </si>
  <si>
    <t>F5</t>
    <phoneticPr fontId="11" type="noConversion"/>
  </si>
  <si>
    <t>S2</t>
    <phoneticPr fontId="11" type="noConversion"/>
  </si>
  <si>
    <t>F1</t>
    <phoneticPr fontId="11" type="noConversion"/>
  </si>
  <si>
    <t>F8</t>
    <phoneticPr fontId="11" type="noConversion"/>
  </si>
  <si>
    <t>F8a</t>
    <phoneticPr fontId="11" type="noConversion"/>
  </si>
  <si>
    <t>W1a/W1b</t>
    <phoneticPr fontId="11" type="noConversion"/>
  </si>
  <si>
    <t>W1a</t>
    <phoneticPr fontId="11" type="noConversion"/>
  </si>
  <si>
    <t>C1/C3</t>
    <phoneticPr fontId="11" type="noConversion"/>
  </si>
  <si>
    <t>N/A</t>
    <phoneticPr fontId="11" type="noConversion"/>
  </si>
  <si>
    <t>F17环氧涂层地面</t>
    <phoneticPr fontId="11" type="noConversion"/>
  </si>
  <si>
    <t>S8</t>
    <phoneticPr fontId="11" type="noConversion"/>
  </si>
  <si>
    <t>W3</t>
    <phoneticPr fontId="11" type="noConversion"/>
  </si>
  <si>
    <r>
      <t>W1a</t>
    </r>
    <r>
      <rPr>
        <sz val="10"/>
        <color rgb="FF000000"/>
        <rFont val="宋体"/>
        <family val="3"/>
        <charset val="134"/>
      </rPr>
      <t>丙烯酸乳胶漆涂料墙面</t>
    </r>
    <r>
      <rPr>
        <sz val="10"/>
        <color rgb="FF000000"/>
        <rFont val="Imago"/>
      </rPr>
      <t/>
    </r>
    <phoneticPr fontId="11" type="noConversion"/>
  </si>
  <si>
    <r>
      <t>S3</t>
    </r>
    <r>
      <rPr>
        <sz val="11"/>
        <color rgb="FF000000"/>
        <rFont val="宋体"/>
        <family val="3"/>
        <charset val="134"/>
      </rPr>
      <t>环氧涂层踢脚</t>
    </r>
    <phoneticPr fontId="11" type="noConversion"/>
  </si>
  <si>
    <r>
      <t>F8a</t>
    </r>
    <r>
      <rPr>
        <sz val="10"/>
        <color rgb="FF000000"/>
        <rFont val="宋体"/>
        <family val="3"/>
        <charset val="134"/>
      </rPr>
      <t>环氧自流平地面（有防水层）</t>
    </r>
    <phoneticPr fontId="11" type="noConversion"/>
  </si>
  <si>
    <t>冷梁，空调机，风机盘管，排风，送风机，排烟，热交换器，正压送风，高效过滤器，旅行。</t>
    <phoneticPr fontId="11" type="noConversion"/>
  </si>
  <si>
    <t>F2</t>
    <phoneticPr fontId="11" type="noConversion"/>
  </si>
  <si>
    <t>F5</t>
    <phoneticPr fontId="11" type="noConversion"/>
  </si>
  <si>
    <r>
      <t>F2</t>
    </r>
    <r>
      <rPr>
        <sz val="10"/>
        <color rgb="FF000000"/>
        <rFont val="宋体"/>
        <family val="3"/>
        <charset val="134"/>
      </rPr>
      <t>耐化学品，耐压，耐磨环氧自流平地面</t>
    </r>
    <phoneticPr fontId="11" type="noConversion"/>
  </si>
  <si>
    <r>
      <t>F17</t>
    </r>
    <r>
      <rPr>
        <sz val="10"/>
        <color rgb="FF000000"/>
        <rFont val="宋体"/>
        <family val="3"/>
        <charset val="134"/>
      </rPr>
      <t>环氧涂层地面</t>
    </r>
    <phoneticPr fontId="11" type="noConversion"/>
  </si>
  <si>
    <t>W1a</t>
    <phoneticPr fontId="11" type="noConversion"/>
  </si>
  <si>
    <t>C4</t>
    <phoneticPr fontId="11" type="noConversion"/>
  </si>
  <si>
    <t>N/A</t>
    <phoneticPr fontId="11" type="noConversion"/>
  </si>
  <si>
    <t>S8</t>
    <phoneticPr fontId="11" type="noConversion"/>
  </si>
  <si>
    <t>W1</t>
  </si>
  <si>
    <t>C1</t>
  </si>
  <si>
    <t>S5乙烯基踢脚,2.5毫米厚</t>
  </si>
  <si>
    <t>F9</t>
    <phoneticPr fontId="11" type="noConversion"/>
  </si>
  <si>
    <t>S6</t>
    <phoneticPr fontId="11" type="noConversion"/>
  </si>
  <si>
    <t>F5</t>
    <phoneticPr fontId="11" type="noConversion"/>
  </si>
  <si>
    <t>S2</t>
    <phoneticPr fontId="11" type="noConversion"/>
  </si>
  <si>
    <t>F1</t>
    <phoneticPr fontId="11" type="noConversion"/>
  </si>
  <si>
    <r>
      <t>F17</t>
    </r>
    <r>
      <rPr>
        <sz val="10"/>
        <color rgb="FF000000"/>
        <rFont val="宋体"/>
        <family val="3"/>
        <charset val="134"/>
      </rPr>
      <t>/F9</t>
    </r>
    <phoneticPr fontId="11" type="noConversion"/>
  </si>
  <si>
    <t>W1a</t>
    <phoneticPr fontId="11" type="noConversion"/>
  </si>
  <si>
    <t>C4</t>
    <phoneticPr fontId="11" type="noConversion"/>
  </si>
  <si>
    <t>C1</t>
    <phoneticPr fontId="11" type="noConversion"/>
  </si>
  <si>
    <t>F2</t>
    <phoneticPr fontId="11" type="noConversion"/>
  </si>
  <si>
    <t>C5</t>
    <phoneticPr fontId="11" type="noConversion"/>
  </si>
  <si>
    <t>W2</t>
    <phoneticPr fontId="11" type="noConversion"/>
  </si>
  <si>
    <r>
      <t>C</t>
    </r>
    <r>
      <rPr>
        <sz val="11"/>
        <color rgb="FF000000"/>
        <rFont val="SimSun"/>
        <charset val="134"/>
      </rPr>
      <t>5</t>
    </r>
    <phoneticPr fontId="11" type="noConversion"/>
  </si>
  <si>
    <r>
      <t>F</t>
    </r>
    <r>
      <rPr>
        <sz val="11"/>
        <color rgb="FF000000"/>
        <rFont val="SimSun"/>
        <charset val="134"/>
      </rPr>
      <t>2</t>
    </r>
    <phoneticPr fontId="11" type="noConversion"/>
  </si>
  <si>
    <r>
      <t>W</t>
    </r>
    <r>
      <rPr>
        <sz val="11"/>
        <color rgb="FF000000"/>
        <rFont val="SimSun"/>
        <charset val="134"/>
      </rPr>
      <t>1b</t>
    </r>
    <phoneticPr fontId="11" type="noConversion"/>
  </si>
  <si>
    <r>
      <t>S</t>
    </r>
    <r>
      <rPr>
        <sz val="11"/>
        <color rgb="FF000000"/>
        <rFont val="SimSun"/>
        <charset val="134"/>
      </rPr>
      <t>6</t>
    </r>
    <phoneticPr fontId="11" type="noConversion"/>
  </si>
  <si>
    <r>
      <t>F</t>
    </r>
    <r>
      <rPr>
        <sz val="11"/>
        <color rgb="FF000000"/>
        <rFont val="SimSun"/>
        <charset val="134"/>
      </rPr>
      <t>5</t>
    </r>
    <phoneticPr fontId="11" type="noConversion"/>
  </si>
  <si>
    <r>
      <t>W</t>
    </r>
    <r>
      <rPr>
        <sz val="11"/>
        <color rgb="FF000000"/>
        <rFont val="SimSun"/>
        <charset val="134"/>
      </rPr>
      <t>5</t>
    </r>
    <phoneticPr fontId="11" type="noConversion"/>
  </si>
  <si>
    <r>
      <t>C</t>
    </r>
    <r>
      <rPr>
        <sz val="11"/>
        <color rgb="FF000000"/>
        <rFont val="SimSun"/>
        <charset val="134"/>
      </rPr>
      <t>4</t>
    </r>
    <phoneticPr fontId="11" type="noConversion"/>
  </si>
  <si>
    <r>
      <t>N</t>
    </r>
    <r>
      <rPr>
        <sz val="11"/>
        <color rgb="FF000000"/>
        <rFont val="SimSun"/>
        <charset val="134"/>
      </rPr>
      <t>/A</t>
    </r>
    <phoneticPr fontId="11" type="noConversion"/>
  </si>
  <si>
    <r>
      <t>F</t>
    </r>
    <r>
      <rPr>
        <sz val="11"/>
        <color rgb="FF000000"/>
        <rFont val="SimSun"/>
        <charset val="134"/>
      </rPr>
      <t>1</t>
    </r>
    <phoneticPr fontId="11" type="noConversion"/>
  </si>
  <si>
    <r>
      <t>S</t>
    </r>
    <r>
      <rPr>
        <sz val="11"/>
        <color rgb="FF000000"/>
        <rFont val="SimSun"/>
        <charset val="134"/>
      </rPr>
      <t>1</t>
    </r>
    <phoneticPr fontId="11" type="noConversion"/>
  </si>
  <si>
    <r>
      <t>W</t>
    </r>
    <r>
      <rPr>
        <sz val="11"/>
        <color rgb="FF000000"/>
        <rFont val="SimSun"/>
        <charset val="134"/>
      </rPr>
      <t>3</t>
    </r>
    <phoneticPr fontId="11" type="noConversion"/>
  </si>
  <si>
    <r>
      <t>C</t>
    </r>
    <r>
      <rPr>
        <sz val="11"/>
        <color rgb="FF000000"/>
        <rFont val="SimSun"/>
        <charset val="134"/>
      </rPr>
      <t>3</t>
    </r>
    <phoneticPr fontId="11" type="noConversion"/>
  </si>
  <si>
    <t>W1b</t>
    <phoneticPr fontId="11" type="noConversion"/>
  </si>
  <si>
    <r>
      <t>W</t>
    </r>
    <r>
      <rPr>
        <sz val="11"/>
        <color rgb="FF000000"/>
        <rFont val="SimSun"/>
        <charset val="134"/>
      </rPr>
      <t>2</t>
    </r>
    <phoneticPr fontId="11" type="noConversion"/>
  </si>
  <si>
    <r>
      <t>W</t>
    </r>
    <r>
      <rPr>
        <sz val="11"/>
        <color rgb="FF000000"/>
        <rFont val="SimSun"/>
        <charset val="134"/>
      </rPr>
      <t>1a</t>
    </r>
    <phoneticPr fontId="11" type="noConversion"/>
  </si>
  <si>
    <t>C6</t>
    <phoneticPr fontId="11" type="noConversion"/>
  </si>
  <si>
    <t>W4</t>
    <phoneticPr fontId="11" type="noConversion"/>
  </si>
  <si>
    <t>W1</t>
    <phoneticPr fontId="11" type="noConversion"/>
  </si>
  <si>
    <t>W1a/w1b</t>
    <phoneticPr fontId="11" type="noConversion"/>
  </si>
  <si>
    <r>
      <t>W</t>
    </r>
    <r>
      <rPr>
        <sz val="11"/>
        <color rgb="FF000000"/>
        <rFont val="SimSun"/>
        <charset val="134"/>
      </rPr>
      <t>2a</t>
    </r>
    <phoneticPr fontId="11" type="noConversion"/>
  </si>
  <si>
    <r>
      <t>C</t>
    </r>
    <r>
      <rPr>
        <sz val="11"/>
        <color rgb="FF000000"/>
        <rFont val="SimSun"/>
        <charset val="134"/>
      </rPr>
      <t>1</t>
    </r>
    <phoneticPr fontId="11" type="noConversion"/>
  </si>
  <si>
    <t>F6</t>
    <phoneticPr fontId="11" type="noConversion"/>
  </si>
  <si>
    <t>W1/W5</t>
    <phoneticPr fontId="11" type="noConversion"/>
  </si>
  <si>
    <t>S1</t>
    <phoneticPr fontId="11" type="noConversion"/>
  </si>
  <si>
    <r>
      <t>F</t>
    </r>
    <r>
      <rPr>
        <sz val="11"/>
        <color rgb="FF000000"/>
        <rFont val="SimSun"/>
        <charset val="134"/>
      </rPr>
      <t>9</t>
    </r>
    <phoneticPr fontId="11" type="noConversion"/>
  </si>
  <si>
    <r>
      <t>W</t>
    </r>
    <r>
      <rPr>
        <sz val="11"/>
        <color rgb="FF000000"/>
        <rFont val="SimSun"/>
        <charset val="134"/>
      </rPr>
      <t>1</t>
    </r>
    <phoneticPr fontId="11" type="noConversion"/>
  </si>
  <si>
    <t>F1/F9</t>
    <phoneticPr fontId="11" type="noConversion"/>
  </si>
  <si>
    <r>
      <t>F</t>
    </r>
    <r>
      <rPr>
        <sz val="11"/>
        <color rgb="FF000000"/>
        <rFont val="SimSun"/>
        <charset val="134"/>
      </rPr>
      <t>4</t>
    </r>
    <phoneticPr fontId="11" type="noConversion"/>
  </si>
  <si>
    <r>
      <t>C3</t>
    </r>
    <r>
      <rPr>
        <sz val="10"/>
        <color rgb="FF000000"/>
        <rFont val="宋体"/>
        <family val="3"/>
        <charset val="134"/>
      </rPr>
      <t>乳胶漆天花板</t>
    </r>
    <phoneticPr fontId="11" type="noConversion"/>
  </si>
  <si>
    <t>S1</t>
    <phoneticPr fontId="11" type="noConversion"/>
  </si>
  <si>
    <t>C1/C2</t>
    <phoneticPr fontId="11" type="noConversion"/>
  </si>
  <si>
    <t>F17</t>
    <phoneticPr fontId="11" type="noConversion"/>
  </si>
  <si>
    <r>
      <t>W</t>
    </r>
    <r>
      <rPr>
        <sz val="11"/>
        <color rgb="FF000000"/>
        <rFont val="SimSun"/>
        <charset val="134"/>
      </rPr>
      <t>1a</t>
    </r>
    <phoneticPr fontId="11" type="noConversion"/>
  </si>
  <si>
    <r>
      <t>C</t>
    </r>
    <r>
      <rPr>
        <sz val="11"/>
        <color rgb="FF000000"/>
        <rFont val="SimSun"/>
        <charset val="134"/>
      </rPr>
      <t>4</t>
    </r>
    <phoneticPr fontId="11" type="noConversion"/>
  </si>
  <si>
    <r>
      <t>N</t>
    </r>
    <r>
      <rPr>
        <sz val="11"/>
        <color rgb="FF000000"/>
        <rFont val="SimSun"/>
        <charset val="134"/>
      </rPr>
      <t>/A</t>
    </r>
    <phoneticPr fontId="11" type="noConversion"/>
  </si>
  <si>
    <r>
      <t>S</t>
    </r>
    <r>
      <rPr>
        <sz val="11"/>
        <color rgb="FF000000"/>
        <rFont val="SimSun"/>
        <charset val="134"/>
      </rPr>
      <t>1</t>
    </r>
    <phoneticPr fontId="11" type="noConversion"/>
  </si>
  <si>
    <r>
      <t>F</t>
    </r>
    <r>
      <rPr>
        <sz val="11"/>
        <color rgb="FF000000"/>
        <rFont val="SimSun"/>
        <charset val="134"/>
      </rPr>
      <t>9</t>
    </r>
    <phoneticPr fontId="11" type="noConversion"/>
  </si>
  <si>
    <r>
      <t>S</t>
    </r>
    <r>
      <rPr>
        <sz val="11"/>
        <color rgb="FF000000"/>
        <rFont val="SimSun"/>
        <charset val="134"/>
      </rPr>
      <t>6</t>
    </r>
    <phoneticPr fontId="11" type="noConversion"/>
  </si>
  <si>
    <r>
      <t>F</t>
    </r>
    <r>
      <rPr>
        <sz val="11"/>
        <color rgb="FF000000"/>
        <rFont val="SimSun"/>
        <charset val="134"/>
      </rPr>
      <t>10c</t>
    </r>
    <phoneticPr fontId="11" type="noConversion"/>
  </si>
  <si>
    <r>
      <t>C</t>
    </r>
    <r>
      <rPr>
        <sz val="11"/>
        <color rgb="FF000000"/>
        <rFont val="SimSun"/>
        <charset val="134"/>
      </rPr>
      <t>3</t>
    </r>
    <phoneticPr fontId="11" type="noConversion"/>
  </si>
  <si>
    <t>W1b</t>
    <phoneticPr fontId="11" type="noConversion"/>
  </si>
  <si>
    <t>C8</t>
    <phoneticPr fontId="11" type="noConversion"/>
  </si>
  <si>
    <t>W7</t>
    <phoneticPr fontId="11" type="noConversion"/>
  </si>
  <si>
    <t>S3</t>
    <phoneticPr fontId="11" type="noConversion"/>
  </si>
  <si>
    <r>
      <t>F</t>
    </r>
    <r>
      <rPr>
        <sz val="11"/>
        <color rgb="FF000000"/>
        <rFont val="SimSun"/>
        <charset val="134"/>
      </rPr>
      <t>1</t>
    </r>
    <phoneticPr fontId="11" type="noConversion"/>
  </si>
  <si>
    <t>C1</t>
    <phoneticPr fontId="11" type="noConversion"/>
  </si>
  <si>
    <t>S2</t>
    <phoneticPr fontId="11" type="noConversion"/>
  </si>
  <si>
    <t>C4</t>
    <phoneticPr fontId="11" type="noConversion"/>
  </si>
  <si>
    <t>F1</t>
    <phoneticPr fontId="11" type="noConversion"/>
  </si>
  <si>
    <t>BF</t>
    <phoneticPr fontId="11" type="noConversion"/>
  </si>
  <si>
    <r>
      <rPr>
        <sz val="11"/>
        <color theme="1"/>
        <rFont val="宋体"/>
        <family val="3"/>
        <charset val="134"/>
      </rPr>
      <t>水池</t>
    </r>
    <r>
      <rPr>
        <sz val="11"/>
        <color theme="1"/>
        <rFont val="Minion"/>
        <family val="1"/>
      </rPr>
      <t xml:space="preserve"> Pound</t>
    </r>
    <phoneticPr fontId="18" type="noConversion"/>
  </si>
  <si>
    <t>灌装间 PCR Filling</t>
    <phoneticPr fontId="18" type="noConversion"/>
  </si>
  <si>
    <t>灌装间 PCR Filling3</t>
    <phoneticPr fontId="18" type="noConversion"/>
  </si>
  <si>
    <t>分配器灌装间 Dispenser</t>
    <phoneticPr fontId="18" type="noConversion"/>
  </si>
  <si>
    <r>
      <rPr>
        <sz val="11"/>
        <color theme="1"/>
        <rFont val="宋体"/>
        <family val="3"/>
        <charset val="134"/>
      </rPr>
      <t>灌装间</t>
    </r>
    <r>
      <rPr>
        <sz val="11"/>
        <color theme="1"/>
        <rFont val="Minion"/>
        <family val="3"/>
        <charset val="134"/>
      </rPr>
      <t xml:space="preserve"> Filling Room </t>
    </r>
    <phoneticPr fontId="18" type="noConversion"/>
  </si>
  <si>
    <r>
      <t>S</t>
    </r>
    <r>
      <rPr>
        <sz val="11"/>
        <color rgb="FF000000"/>
        <rFont val="SimSun"/>
        <charset val="134"/>
      </rPr>
      <t>101</t>
    </r>
    <phoneticPr fontId="11" type="noConversion"/>
  </si>
  <si>
    <r>
      <t>中测间I</t>
    </r>
    <r>
      <rPr>
        <sz val="11"/>
        <color rgb="FF000000"/>
        <rFont val="SimSun"/>
        <charset val="134"/>
      </rPr>
      <t>PC</t>
    </r>
    <phoneticPr fontId="11" type="noConversion"/>
  </si>
  <si>
    <r>
      <t>1</t>
    </r>
    <r>
      <rPr>
        <sz val="11"/>
        <color rgb="FF000000"/>
        <rFont val="SimSun"/>
        <charset val="134"/>
      </rPr>
      <t>17A</t>
    </r>
    <phoneticPr fontId="11" type="noConversion"/>
  </si>
  <si>
    <t>一层</t>
    <phoneticPr fontId="11" type="noConversion"/>
  </si>
  <si>
    <t>单层建筑面积</t>
    <phoneticPr fontId="11" type="noConversion"/>
  </si>
  <si>
    <t>1F</t>
  </si>
  <si>
    <r>
      <t>2</t>
    </r>
    <r>
      <rPr>
        <sz val="11"/>
        <color rgb="FF000000"/>
        <rFont val="SimSun"/>
        <charset val="134"/>
      </rPr>
      <t>F</t>
    </r>
    <phoneticPr fontId="11" type="noConversion"/>
  </si>
  <si>
    <r>
      <t>S</t>
    </r>
    <r>
      <rPr>
        <sz val="11"/>
        <color rgb="FF000000"/>
        <rFont val="SimSun"/>
        <charset val="134"/>
      </rPr>
      <t>102</t>
    </r>
    <phoneticPr fontId="11" type="noConversion"/>
  </si>
  <si>
    <r>
      <t>S</t>
    </r>
    <r>
      <rPr>
        <sz val="11"/>
        <color rgb="FF000000"/>
        <rFont val="SimSun"/>
        <charset val="134"/>
      </rPr>
      <t>103</t>
    </r>
    <phoneticPr fontId="11" type="noConversion"/>
  </si>
  <si>
    <r>
      <t>S</t>
    </r>
    <r>
      <rPr>
        <sz val="11"/>
        <color rgb="FF000000"/>
        <rFont val="SimSun"/>
        <charset val="134"/>
      </rPr>
      <t>201</t>
    </r>
    <phoneticPr fontId="11" type="noConversion"/>
  </si>
  <si>
    <t>2F</t>
    <phoneticPr fontId="11" type="noConversion"/>
  </si>
  <si>
    <t>二层</t>
    <phoneticPr fontId="11" type="noConversion"/>
  </si>
  <si>
    <r>
      <t>S</t>
    </r>
    <r>
      <rPr>
        <sz val="11"/>
        <color rgb="FF000000"/>
        <rFont val="SimSun"/>
        <charset val="134"/>
      </rPr>
      <t>202</t>
    </r>
    <phoneticPr fontId="11" type="noConversion"/>
  </si>
  <si>
    <t>S203</t>
    <phoneticPr fontId="11" type="noConversion"/>
  </si>
  <si>
    <t>S204</t>
    <phoneticPr fontId="11" type="noConversion"/>
  </si>
  <si>
    <t>S104</t>
    <phoneticPr fontId="11" type="noConversion"/>
  </si>
  <si>
    <r>
      <t>2F</t>
    </r>
    <r>
      <rPr>
        <sz val="11"/>
        <color rgb="FF000000"/>
        <rFont val="SimSun"/>
        <charset val="134"/>
      </rPr>
      <t/>
    </r>
  </si>
  <si>
    <r>
      <rPr>
        <sz val="10"/>
        <color rgb="FF000000"/>
        <rFont val="宋体"/>
        <family val="3"/>
        <charset val="134"/>
      </rPr>
      <t>实验室</t>
    </r>
    <r>
      <rPr>
        <sz val="10"/>
        <color rgb="FF000000"/>
        <rFont val="Imago"/>
      </rPr>
      <t>Lab</t>
    </r>
    <phoneticPr fontId="11" type="noConversion"/>
  </si>
  <si>
    <r>
      <t xml:space="preserve">Cleaning RM </t>
    </r>
    <r>
      <rPr>
        <sz val="10"/>
        <color rgb="FF000000"/>
        <rFont val="宋体"/>
        <family val="3"/>
        <charset val="134"/>
      </rPr>
      <t>清洁间</t>
    </r>
    <phoneticPr fontId="11" type="noConversion"/>
  </si>
  <si>
    <r>
      <rPr>
        <sz val="10"/>
        <color rgb="FF000000"/>
        <rFont val="宋体"/>
        <family val="3"/>
        <charset val="134"/>
      </rPr>
      <t>消防及安保监控室</t>
    </r>
    <r>
      <rPr>
        <sz val="10"/>
        <color rgb="FF000000"/>
        <rFont val="Imago"/>
      </rPr>
      <t xml:space="preserve">SECURITY CENTER
</t>
    </r>
    <phoneticPr fontId="11" type="noConversion"/>
  </si>
  <si>
    <r>
      <rPr>
        <sz val="10"/>
        <color rgb="FF000000"/>
        <rFont val="宋体"/>
        <family val="3"/>
        <charset val="134"/>
      </rPr>
      <t>样品间S</t>
    </r>
    <r>
      <rPr>
        <sz val="10"/>
        <color rgb="FF000000"/>
        <rFont val="Imago"/>
      </rPr>
      <t>ample Room</t>
    </r>
    <r>
      <rPr>
        <sz val="10"/>
        <color rgb="FF000000"/>
        <rFont val="宋体"/>
        <family val="3"/>
        <charset val="134"/>
      </rPr>
      <t xml:space="preserve">
</t>
    </r>
    <phoneticPr fontId="11" type="noConversion"/>
  </si>
  <si>
    <r>
      <rPr>
        <sz val="10"/>
        <color rgb="FF000000"/>
        <rFont val="宋体"/>
        <family val="3"/>
        <charset val="134"/>
      </rPr>
      <t>管道井</t>
    </r>
    <r>
      <rPr>
        <sz val="10"/>
        <color rgb="FF000000"/>
        <rFont val="Imago"/>
      </rPr>
      <t xml:space="preserve">SHAFT
</t>
    </r>
    <phoneticPr fontId="11" type="noConversion"/>
  </si>
  <si>
    <r>
      <t>8#</t>
    </r>
    <r>
      <rPr>
        <sz val="10"/>
        <color rgb="FF000000"/>
        <rFont val="宋体"/>
        <family val="3"/>
        <charset val="134"/>
      </rPr>
      <t>电梯</t>
    </r>
    <r>
      <rPr>
        <sz val="10"/>
        <color rgb="FF000000"/>
        <rFont val="Imago"/>
      </rPr>
      <t>8# ELEVATOR</t>
    </r>
    <phoneticPr fontId="11" type="noConversion"/>
  </si>
  <si>
    <r>
      <t>Cobas</t>
    </r>
    <r>
      <rPr>
        <sz val="11"/>
        <color theme="1"/>
        <rFont val="宋体"/>
        <family val="3"/>
        <charset val="134"/>
      </rPr>
      <t>分析设备实验室</t>
    </r>
    <r>
      <rPr>
        <sz val="11"/>
        <color theme="1"/>
        <rFont val="Minion"/>
        <family val="1"/>
      </rPr>
      <t xml:space="preserve"> Cobas Analyzer Lab</t>
    </r>
    <phoneticPr fontId="11" type="noConversion"/>
  </si>
  <si>
    <r>
      <t>R&amp;D-</t>
    </r>
    <r>
      <rPr>
        <sz val="10"/>
        <color rgb="FF000000"/>
        <rFont val="宋体"/>
        <family val="3"/>
        <charset val="134"/>
      </rPr>
      <t>常温储存间</t>
    </r>
    <r>
      <rPr>
        <sz val="11"/>
        <color theme="1"/>
        <rFont val="Minion"/>
        <family val="1"/>
      </rPr>
      <t xml:space="preserve"> R&amp;D-Ambient Storage Room</t>
    </r>
    <phoneticPr fontId="11" type="noConversion"/>
  </si>
  <si>
    <t>5F 五层</t>
    <phoneticPr fontId="11" type="noConversion"/>
  </si>
  <si>
    <r>
      <t>R&amp;D-</t>
    </r>
    <r>
      <rPr>
        <strike/>
        <sz val="11"/>
        <color theme="1"/>
        <rFont val="等线 Light"/>
        <charset val="134"/>
      </rPr>
      <t>常温存储间 R&amp;D-Ambient storage</t>
    </r>
    <phoneticPr fontId="11" type="noConversion"/>
  </si>
  <si>
    <t>552</t>
    <phoneticPr fontId="11" type="noConversion"/>
  </si>
  <si>
    <t>553</t>
    <phoneticPr fontId="11" type="noConversion"/>
  </si>
  <si>
    <t>555</t>
    <phoneticPr fontId="11" type="noConversion"/>
  </si>
  <si>
    <r>
      <rPr>
        <sz val="10"/>
        <color rgb="FF000000"/>
        <rFont val="宋体"/>
        <family val="3"/>
        <charset val="134"/>
      </rPr>
      <t>参观走廊</t>
    </r>
    <r>
      <rPr>
        <sz val="10"/>
        <color rgb="FF000000"/>
        <rFont val="Imago"/>
      </rPr>
      <t xml:space="preserve"> Visiting Corridor</t>
    </r>
    <phoneticPr fontId="11" type="noConversion"/>
  </si>
  <si>
    <r>
      <rPr>
        <sz val="10"/>
        <color rgb="FF000000"/>
        <rFont val="宋体"/>
        <family val="3"/>
        <charset val="134"/>
      </rPr>
      <t>缓冲间</t>
    </r>
    <r>
      <rPr>
        <sz val="10"/>
        <color rgb="FF000000"/>
        <rFont val="Imago"/>
      </rPr>
      <t>Buffer</t>
    </r>
    <phoneticPr fontId="11" type="noConversion"/>
  </si>
  <si>
    <r>
      <rPr>
        <sz val="10"/>
        <color rgb="FF000000"/>
        <rFont val="宋体"/>
        <family val="3"/>
        <charset val="134"/>
      </rPr>
      <t>更衣间</t>
    </r>
    <r>
      <rPr>
        <sz val="10"/>
        <color rgb="FF000000"/>
        <rFont val="Imago"/>
      </rPr>
      <t>Gown</t>
    </r>
    <phoneticPr fontId="11" type="noConversion"/>
  </si>
  <si>
    <t>灌装间Filling</t>
    <phoneticPr fontId="18" type="noConversion"/>
  </si>
  <si>
    <t>包材存储间 Packaging Material Storage Room</t>
    <phoneticPr fontId="18" type="noConversion"/>
  </si>
  <si>
    <t>手工操作间 Manual Operation Room</t>
    <phoneticPr fontId="11" type="noConversion"/>
  </si>
  <si>
    <t>污水消毒间Waste Water Decontamination</t>
    <phoneticPr fontId="18" type="noConversion"/>
  </si>
  <si>
    <t>QC-样品留存间（常温）  QC-Sample Retention(Ambient)</t>
    <phoneticPr fontId="18" type="noConversion"/>
  </si>
  <si>
    <t xml:space="preserve">备用楼梯间 Future Staircase </t>
    <phoneticPr fontId="18" type="noConversion"/>
  </si>
  <si>
    <t>包材检验室2 packaging material inspection room2</t>
    <phoneticPr fontId="11" type="noConversion"/>
  </si>
  <si>
    <t>收发室 Reception</t>
    <phoneticPr fontId="11" type="noConversion"/>
  </si>
  <si>
    <t>办公室  Office</t>
    <phoneticPr fontId="11" type="noConversion"/>
  </si>
  <si>
    <r>
      <rPr>
        <sz val="11"/>
        <color theme="1"/>
        <rFont val="宋体"/>
        <family val="3"/>
        <charset val="134"/>
      </rPr>
      <t>缓冲间</t>
    </r>
    <r>
      <rPr>
        <sz val="11"/>
        <color theme="1"/>
        <rFont val="Minion"/>
        <family val="1"/>
      </rPr>
      <t xml:space="preserve">  Buffer</t>
    </r>
    <phoneticPr fontId="11" type="noConversion"/>
  </si>
  <si>
    <t>213</t>
    <phoneticPr fontId="11" type="noConversion"/>
  </si>
  <si>
    <t>215</t>
    <phoneticPr fontId="11" type="noConversion"/>
  </si>
  <si>
    <r>
      <t>3#</t>
    </r>
    <r>
      <rPr>
        <sz val="11"/>
        <color rgb="FFFF0000"/>
        <rFont val="宋体"/>
        <family val="3"/>
        <charset val="134"/>
      </rPr>
      <t>电梯间</t>
    </r>
    <r>
      <rPr>
        <sz val="11"/>
        <color rgb="FFFF0000"/>
        <rFont val="Minion"/>
        <family val="1"/>
      </rPr>
      <t xml:space="preserve"> 3#Elevator</t>
    </r>
    <phoneticPr fontId="11" type="noConversion"/>
  </si>
  <si>
    <r>
      <t>2#</t>
    </r>
    <r>
      <rPr>
        <sz val="11"/>
        <color rgb="FFFF0000"/>
        <rFont val="宋体"/>
        <family val="3"/>
        <charset val="134"/>
      </rPr>
      <t>电梯间</t>
    </r>
    <r>
      <rPr>
        <sz val="11"/>
        <color rgb="FFFF0000"/>
        <rFont val="Minion"/>
        <family val="1"/>
      </rPr>
      <t xml:space="preserve"> 2#Elevator</t>
    </r>
    <phoneticPr fontId="11" type="noConversion"/>
  </si>
  <si>
    <t>227</t>
    <phoneticPr fontId="11" type="noConversion"/>
  </si>
  <si>
    <r>
      <rPr>
        <sz val="11"/>
        <color rgb="FFFF0000"/>
        <rFont val="宋体"/>
        <family val="3"/>
        <charset val="134"/>
      </rPr>
      <t>冷冻机房</t>
    </r>
    <r>
      <rPr>
        <sz val="11"/>
        <color rgb="FFFF0000"/>
        <rFont val="Minion"/>
        <family val="1"/>
      </rPr>
      <t xml:space="preserve">  Chiller Room</t>
    </r>
    <phoneticPr fontId="18" type="noConversion"/>
  </si>
  <si>
    <t>电梯间Elevator</t>
    <phoneticPr fontId="18" type="noConversion"/>
  </si>
  <si>
    <t>走道 Corridor</t>
    <phoneticPr fontId="18" type="noConversion"/>
  </si>
  <si>
    <t>会议室 Meeting RM</t>
    <phoneticPr fontId="18" type="noConversion"/>
  </si>
  <si>
    <r>
      <rPr>
        <sz val="11"/>
        <color rgb="FFFF0000"/>
        <rFont val="宋体"/>
        <family val="3"/>
        <charset val="134"/>
      </rPr>
      <t>男卫生间</t>
    </r>
    <r>
      <rPr>
        <sz val="11"/>
        <color rgb="FFFF0000"/>
        <rFont val="Minion"/>
        <family val="1"/>
      </rPr>
      <t xml:space="preserve"> Male Toilet</t>
    </r>
    <phoneticPr fontId="18" type="noConversion"/>
  </si>
  <si>
    <r>
      <rPr>
        <sz val="11"/>
        <color rgb="FFFF0000"/>
        <rFont val="宋体"/>
        <family val="3"/>
        <charset val="134"/>
      </rPr>
      <t>女卫生间</t>
    </r>
    <r>
      <rPr>
        <sz val="11"/>
        <color rgb="FFFF0000"/>
        <rFont val="Minion"/>
        <family val="1"/>
      </rPr>
      <t xml:space="preserve"> Female Toilet</t>
    </r>
    <phoneticPr fontId="18" type="noConversion"/>
  </si>
  <si>
    <r>
      <rPr>
        <sz val="11"/>
        <color rgb="FFFF0000"/>
        <rFont val="宋体"/>
        <family val="3"/>
        <charset val="134"/>
      </rPr>
      <t>会议室</t>
    </r>
    <r>
      <rPr>
        <sz val="11"/>
        <color rgb="FFFF0000"/>
        <rFont val="Minion"/>
        <family val="1"/>
      </rPr>
      <t xml:space="preserve"> Meeting RM</t>
    </r>
    <phoneticPr fontId="18" type="noConversion"/>
  </si>
  <si>
    <t>电梯Elevator</t>
    <phoneticPr fontId="18" type="noConversion"/>
  </si>
  <si>
    <r>
      <rPr>
        <sz val="11"/>
        <color theme="1"/>
        <rFont val="宋体"/>
        <family val="3"/>
        <charset val="134"/>
      </rPr>
      <t>工具间</t>
    </r>
    <r>
      <rPr>
        <sz val="11"/>
        <color theme="1"/>
        <rFont val="Minion"/>
        <family val="1"/>
      </rPr>
      <t xml:space="preserve"> Tool Room</t>
    </r>
    <phoneticPr fontId="11" type="noConversion"/>
  </si>
  <si>
    <r>
      <rPr>
        <sz val="11"/>
        <color rgb="FFFF0000"/>
        <rFont val="宋体"/>
        <family val="3"/>
        <charset val="134"/>
      </rPr>
      <t>工作间</t>
    </r>
    <r>
      <rPr>
        <sz val="11"/>
        <color rgb="FFFF0000"/>
        <rFont val="Calibri"/>
        <family val="2"/>
      </rPr>
      <t>Workshop</t>
    </r>
    <phoneticPr fontId="11" type="noConversion"/>
  </si>
  <si>
    <r>
      <rPr>
        <sz val="11"/>
        <color rgb="FFFF0000"/>
        <rFont val="宋体"/>
        <family val="3"/>
        <charset val="134"/>
      </rPr>
      <t>技术团队工作间</t>
    </r>
    <r>
      <rPr>
        <sz val="11"/>
        <color rgb="FFFF0000"/>
        <rFont val="Minion"/>
        <family val="1"/>
      </rPr>
      <t>TS Workshop</t>
    </r>
    <phoneticPr fontId="11" type="noConversion"/>
  </si>
  <si>
    <t>走廊Corridor</t>
    <phoneticPr fontId="11" type="noConversion"/>
  </si>
  <si>
    <t>收发货间Shipping&amp;Receiving1</t>
    <phoneticPr fontId="11" type="noConversion"/>
  </si>
  <si>
    <t>暂存间Staging</t>
    <phoneticPr fontId="11" type="noConversion"/>
  </si>
  <si>
    <t>废料间Waste</t>
    <phoneticPr fontId="11" type="noConversion"/>
  </si>
  <si>
    <t>包装车间Pakaging</t>
    <phoneticPr fontId="11" type="noConversion"/>
  </si>
  <si>
    <t>更衣室Locker</t>
    <phoneticPr fontId="11" type="noConversion"/>
  </si>
  <si>
    <t>收发货间2Shipping&amp;Receiving2</t>
    <phoneticPr fontId="11" type="noConversion"/>
  </si>
  <si>
    <t>更衣室（男）Gowning(Male)</t>
    <phoneticPr fontId="11" type="noConversion"/>
  </si>
  <si>
    <t>更衣室（女）Gowning(Female)</t>
    <phoneticPr fontId="11" type="noConversion"/>
  </si>
  <si>
    <t>人流缓冲间PAL</t>
    <phoneticPr fontId="11" type="noConversion"/>
  </si>
  <si>
    <t>物流缓冲间MAL2</t>
    <phoneticPr fontId="11" type="noConversion"/>
  </si>
  <si>
    <t>物流缓冲间MAL</t>
    <phoneticPr fontId="11" type="noConversion"/>
  </si>
  <si>
    <t>配料间1Charging 1</t>
    <phoneticPr fontId="11" type="noConversion"/>
  </si>
  <si>
    <t>缓冲间Buffer Room</t>
    <phoneticPr fontId="11" type="noConversion"/>
  </si>
  <si>
    <t>乙类物料处理间Class B Handling</t>
    <phoneticPr fontId="11" type="noConversion"/>
  </si>
  <si>
    <t>配料间2 Charging 2</t>
    <phoneticPr fontId="11" type="noConversion"/>
  </si>
  <si>
    <t>洁具间2Janitor 2</t>
    <phoneticPr fontId="11" type="noConversion"/>
  </si>
  <si>
    <t>清洗间Cleaning</t>
    <phoneticPr fontId="11" type="noConversion"/>
  </si>
  <si>
    <t>配料间3Charging 3</t>
    <phoneticPr fontId="11" type="noConversion"/>
  </si>
  <si>
    <t>洁净走廊Clean Corridor</t>
    <phoneticPr fontId="11" type="noConversion"/>
  </si>
  <si>
    <t>灌装间1Filling 1</t>
    <phoneticPr fontId="11" type="noConversion"/>
  </si>
  <si>
    <t>灌装间2Filling 2</t>
    <phoneticPr fontId="11" type="noConversion"/>
  </si>
  <si>
    <t>容器间1Vessel Room 1</t>
    <phoneticPr fontId="11" type="noConversion"/>
  </si>
  <si>
    <t>容器间2Vessel Room 2</t>
    <phoneticPr fontId="11" type="noConversion"/>
  </si>
  <si>
    <t>预留区走廊Corridor</t>
    <phoneticPr fontId="11" type="noConversion"/>
  </si>
  <si>
    <t>电气间MCC</t>
    <phoneticPr fontId="11" type="noConversion"/>
  </si>
  <si>
    <t>纯水间Purified Water</t>
    <phoneticPr fontId="11" type="noConversion"/>
  </si>
  <si>
    <t>废水处理室Waste Water</t>
    <phoneticPr fontId="11" type="noConversion"/>
  </si>
  <si>
    <t>容器间3Vessel Room 3</t>
    <phoneticPr fontId="11" type="noConversion"/>
  </si>
  <si>
    <t>洁具间1Janitor 1</t>
    <phoneticPr fontId="11" type="noConversion"/>
  </si>
  <si>
    <t>生产支持间1Production Support 1</t>
    <phoneticPr fontId="11" type="noConversion"/>
  </si>
  <si>
    <t>氮气储存间N2 Store Room</t>
    <phoneticPr fontId="11" type="noConversion"/>
  </si>
  <si>
    <t>楼梯间1（北）Stair 1 (North)</t>
    <phoneticPr fontId="11" type="noConversion"/>
  </si>
  <si>
    <t>楼梯间2（南）Stair 2 (South)</t>
    <phoneticPr fontId="11" type="noConversion"/>
  </si>
  <si>
    <t>楼梯间3（东南） Stair 3 (Southeast)</t>
    <phoneticPr fontId="11" type="noConversion"/>
  </si>
  <si>
    <t>楼梯间4（东）Stair 4 (East)</t>
    <phoneticPr fontId="11" type="noConversion"/>
  </si>
  <si>
    <t>车间Workshops</t>
    <phoneticPr fontId="11" type="noConversion"/>
  </si>
  <si>
    <t>存储间Store</t>
    <phoneticPr fontId="11" type="noConversion"/>
  </si>
  <si>
    <t>电气室 Electrical</t>
    <phoneticPr fontId="11" type="noConversion"/>
  </si>
  <si>
    <t>技术间1Tech RM 1</t>
    <phoneticPr fontId="11" type="noConversion"/>
  </si>
  <si>
    <t>打印室Print</t>
    <phoneticPr fontId="11" type="noConversion"/>
  </si>
  <si>
    <t>通风井1Shaft 1</t>
    <phoneticPr fontId="11" type="noConversion"/>
  </si>
  <si>
    <t>技术间（钢平台）1TECH 1</t>
    <phoneticPr fontId="11" type="noConversion"/>
  </si>
  <si>
    <t>技术间（钢平台）2TECH 2</t>
    <phoneticPr fontId="11" type="noConversion"/>
  </si>
  <si>
    <t>技术间（钢平台）3TECH 3</t>
    <phoneticPr fontId="11" type="noConversion"/>
  </si>
  <si>
    <t>通风井2Shaft 2</t>
    <phoneticPr fontId="11" type="noConversion"/>
  </si>
  <si>
    <t>通风井3Shaft 3</t>
    <phoneticPr fontId="11" type="noConversion"/>
  </si>
  <si>
    <t>通风井4Shaft 4</t>
    <phoneticPr fontId="11" type="noConversion"/>
  </si>
  <si>
    <t>技术间2Tech RM 2</t>
    <phoneticPr fontId="11" type="noConversion"/>
  </si>
  <si>
    <t>电气室2Electrical 2</t>
    <phoneticPr fontId="11" type="noConversion"/>
  </si>
  <si>
    <t>包装车间Pakaging 2</t>
    <phoneticPr fontId="11" type="noConversion"/>
  </si>
  <si>
    <t>楼梯间3（东南）Stair 3 (Southeast)</t>
    <phoneticPr fontId="11" type="noConversion"/>
  </si>
  <si>
    <r>
      <t>3F</t>
    </r>
    <r>
      <rPr>
        <sz val="11"/>
        <color rgb="FF000000"/>
        <rFont val="SimSun"/>
        <charset val="134"/>
      </rPr>
      <t/>
    </r>
  </si>
  <si>
    <t>S301</t>
  </si>
  <si>
    <t>S302</t>
  </si>
  <si>
    <t>楼梯间一（北）Stair 1 (North)</t>
    <phoneticPr fontId="11" type="noConversion"/>
  </si>
  <si>
    <t>低压室LV Swithc</t>
    <phoneticPr fontId="11" type="noConversion"/>
  </si>
  <si>
    <t>排烟机房Smoeke RM</t>
    <phoneticPr fontId="11" type="noConversion"/>
  </si>
  <si>
    <t>主配线架间1MDF&amp;IDF 1</t>
    <phoneticPr fontId="11" type="noConversion"/>
  </si>
  <si>
    <t>主配线架间2 MDF&amp;IDF 2</t>
    <phoneticPr fontId="11" type="noConversion"/>
  </si>
  <si>
    <t>热水制备间Hot Water RM</t>
    <phoneticPr fontId="11" type="noConversion"/>
  </si>
  <si>
    <t>空调机房Air-Conditioner Room</t>
    <phoneticPr fontId="11" type="noConversion"/>
  </si>
  <si>
    <t>通风井4 Shaft 4</t>
    <phoneticPr fontId="11" type="noConversion"/>
  </si>
  <si>
    <r>
      <rPr>
        <sz val="10"/>
        <color rgb="FF000000"/>
        <rFont val="宋体"/>
        <family val="3"/>
        <charset val="134"/>
      </rPr>
      <t>缓冲间</t>
    </r>
    <r>
      <rPr>
        <sz val="10"/>
        <color rgb="FF000000"/>
        <rFont val="Imago"/>
      </rPr>
      <t>Buffer</t>
    </r>
    <phoneticPr fontId="11" type="noConversion"/>
  </si>
  <si>
    <t>556</t>
    <phoneticPr fontId="11" type="noConversion"/>
  </si>
  <si>
    <t>灭活间Inactivation RM</t>
    <phoneticPr fontId="11" type="noConversion"/>
  </si>
  <si>
    <r>
      <rPr>
        <sz val="11"/>
        <color theme="1"/>
        <rFont val="Minion"/>
        <family val="1"/>
      </rPr>
      <t>UPS</t>
    </r>
    <r>
      <rPr>
        <sz val="11"/>
        <color theme="1"/>
        <rFont val="宋体"/>
        <family val="3"/>
        <charset val="134"/>
      </rPr>
      <t>间</t>
    </r>
    <r>
      <rPr>
        <sz val="11"/>
        <color theme="1"/>
        <rFont val="Minion"/>
        <family val="1"/>
      </rPr>
      <t xml:space="preserve"> UPS RM</t>
    </r>
    <phoneticPr fontId="11" type="noConversion"/>
  </si>
  <si>
    <r>
      <t>I</t>
    </r>
    <r>
      <rPr>
        <sz val="11"/>
        <color rgb="FF000000"/>
        <rFont val="SimSun"/>
        <charset val="134"/>
      </rPr>
      <t>OA</t>
    </r>
    <phoneticPr fontId="11" type="noConversion"/>
  </si>
  <si>
    <t>丙类包装车间（中间站）
Class C packaging workshop（transition station）</t>
    <phoneticPr fontId="11" type="noConversion"/>
  </si>
  <si>
    <t>组装生产车间（丙二类）
Assembly Workshop</t>
    <phoneticPr fontId="11" type="noConversion"/>
  </si>
  <si>
    <t>中转缓冲区（属于丙类包装车间（中间站））</t>
    <phoneticPr fontId="11" type="noConversion"/>
  </si>
  <si>
    <r>
      <t xml:space="preserve">走廊 </t>
    </r>
    <r>
      <rPr>
        <sz val="11"/>
        <color rgb="FF000000"/>
        <rFont val="SimSun"/>
        <charset val="134"/>
      </rPr>
      <t>Corridor</t>
    </r>
    <phoneticPr fontId="11" type="noConversion"/>
  </si>
  <si>
    <t>女卫 Toilet</t>
    <phoneticPr fontId="11" type="noConversion"/>
  </si>
  <si>
    <t>男卫 Toilet</t>
    <phoneticPr fontId="11" type="noConversion"/>
  </si>
  <si>
    <r>
      <t>I</t>
    </r>
    <r>
      <rPr>
        <sz val="11"/>
        <color rgb="FF000000"/>
        <rFont val="SimSun"/>
        <charset val="134"/>
      </rPr>
      <t>T间/监控室 IT Room/Monitoring Room</t>
    </r>
    <phoneticPr fontId="11" type="noConversion"/>
  </si>
  <si>
    <r>
      <t xml:space="preserve">会议室 </t>
    </r>
    <r>
      <rPr>
        <sz val="11"/>
        <color rgb="FF000000"/>
        <rFont val="SimSun"/>
        <charset val="134"/>
      </rPr>
      <t>Conference Room</t>
    </r>
    <phoneticPr fontId="11" type="noConversion"/>
  </si>
  <si>
    <r>
      <t xml:space="preserve">车间办公室 </t>
    </r>
    <r>
      <rPr>
        <sz val="11"/>
        <color rgb="FF000000"/>
        <rFont val="SimSun"/>
        <charset val="134"/>
      </rPr>
      <t>Office</t>
    </r>
    <phoneticPr fontId="11" type="noConversion"/>
  </si>
  <si>
    <r>
      <t xml:space="preserve">门厅 </t>
    </r>
    <r>
      <rPr>
        <sz val="11"/>
        <color rgb="FF000000"/>
        <rFont val="SimSun"/>
        <charset val="134"/>
      </rPr>
      <t>Lobby</t>
    </r>
    <phoneticPr fontId="11" type="noConversion"/>
  </si>
  <si>
    <r>
      <t xml:space="preserve">管井 </t>
    </r>
    <r>
      <rPr>
        <sz val="11"/>
        <color rgb="FF000000"/>
        <rFont val="SimSun"/>
        <charset val="134"/>
      </rPr>
      <t>Shaft</t>
    </r>
    <phoneticPr fontId="11" type="noConversion"/>
  </si>
  <si>
    <r>
      <t>0</t>
    </r>
    <r>
      <rPr>
        <sz val="11"/>
        <color rgb="FF000000"/>
        <rFont val="SimSun"/>
        <charset val="134"/>
      </rPr>
      <t>3-S02</t>
    </r>
    <phoneticPr fontId="11" type="noConversion"/>
  </si>
  <si>
    <r>
      <t>楼梯2</t>
    </r>
    <r>
      <rPr>
        <sz val="11"/>
        <color rgb="FF000000"/>
        <rFont val="SimSun"/>
        <charset val="134"/>
      </rPr>
      <t xml:space="preserve"> Stair2</t>
    </r>
    <phoneticPr fontId="11" type="noConversion"/>
  </si>
  <si>
    <t>03-S01</t>
    <phoneticPr fontId="11" type="noConversion"/>
  </si>
  <si>
    <t>楼梯1 Stair1</t>
    <phoneticPr fontId="11" type="noConversion"/>
  </si>
  <si>
    <r>
      <t>0</t>
    </r>
    <r>
      <rPr>
        <sz val="11"/>
        <color rgb="FF000000"/>
        <rFont val="SimSun"/>
        <charset val="134"/>
      </rPr>
      <t>3-2001</t>
    </r>
    <phoneticPr fontId="11" type="noConversion"/>
  </si>
  <si>
    <r>
      <t>0</t>
    </r>
    <r>
      <rPr>
        <sz val="11"/>
        <color rgb="FF000000"/>
        <rFont val="SimSun"/>
        <charset val="134"/>
      </rPr>
      <t>3-2002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</si>
  <si>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3-2003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</si>
  <si>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3-2004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</si>
  <si>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3-2005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</si>
  <si>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3-2006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</si>
  <si>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3-2007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</si>
  <si>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3-2008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</si>
  <si>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3-2009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</si>
  <si>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3-2010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</si>
  <si>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3-2011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</si>
  <si>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3-2012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</si>
  <si>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3-2013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</si>
  <si>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3-2014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</si>
  <si>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3-2015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</si>
  <si>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3-2016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</si>
  <si>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3-2017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</si>
  <si>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3-2018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</si>
  <si>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3-2019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</si>
  <si>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3-2020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</si>
  <si>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3-2021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</si>
  <si>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3-2022</t>
    </r>
    <r>
      <rPr>
        <sz val="11"/>
        <color theme="1"/>
        <rFont val="等线"/>
        <family val="2"/>
        <charset val="134"/>
        <scheme val="minor"/>
      </rPr>
      <t/>
    </r>
  </si>
  <si>
    <r>
      <t xml:space="preserve">办公区 </t>
    </r>
    <r>
      <rPr>
        <sz val="11"/>
        <color rgb="FF000000"/>
        <rFont val="SimSun"/>
        <charset val="134"/>
      </rPr>
      <t>Office</t>
    </r>
    <phoneticPr fontId="11" type="noConversion"/>
  </si>
  <si>
    <t>会议准备间 TEL.RM</t>
    <phoneticPr fontId="11" type="noConversion"/>
  </si>
  <si>
    <r>
      <t>会议室2</t>
    </r>
    <r>
      <rPr>
        <sz val="11"/>
        <color rgb="FF000000"/>
        <rFont val="SimSun"/>
        <charset val="134"/>
      </rPr>
      <t xml:space="preserve"> Meeting RM2</t>
    </r>
    <phoneticPr fontId="11" type="noConversion"/>
  </si>
  <si>
    <t>会议室 Meeting RM1</t>
    <phoneticPr fontId="11" type="noConversion"/>
  </si>
  <si>
    <r>
      <t xml:space="preserve">茶水间 </t>
    </r>
    <r>
      <rPr>
        <sz val="11"/>
        <color rgb="FF000000"/>
        <rFont val="SimSun"/>
        <charset val="134"/>
      </rPr>
      <t>Rest Room</t>
    </r>
    <phoneticPr fontId="11" type="noConversion"/>
  </si>
  <si>
    <t>文档室 Archive Room</t>
    <phoneticPr fontId="11" type="noConversion"/>
  </si>
  <si>
    <r>
      <t xml:space="preserve">电话间 </t>
    </r>
    <r>
      <rPr>
        <sz val="11"/>
        <color rgb="FF000000"/>
        <rFont val="SimSun"/>
        <charset val="134"/>
      </rPr>
      <t>TEL.RM 1</t>
    </r>
    <phoneticPr fontId="11" type="noConversion"/>
  </si>
  <si>
    <r>
      <t>0</t>
    </r>
    <r>
      <rPr>
        <sz val="11"/>
        <color rgb="FF000000"/>
        <rFont val="SimSun"/>
        <charset val="134"/>
      </rPr>
      <t>3-2023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</si>
  <si>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3-2024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</si>
  <si>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3-2025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</si>
  <si>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3-2026</t>
    </r>
    <r>
      <rPr>
        <sz val="11"/>
        <color theme="1"/>
        <rFont val="等线"/>
        <family val="2"/>
        <charset val="134"/>
        <scheme val="minor"/>
      </rPr>
      <t/>
    </r>
  </si>
  <si>
    <t>电话间 TEL.RM 1</t>
    <phoneticPr fontId="11" type="noConversion"/>
  </si>
  <si>
    <r>
      <t xml:space="preserve">更衣间 </t>
    </r>
    <r>
      <rPr>
        <sz val="11"/>
        <color rgb="FF000000"/>
        <rFont val="SimSun"/>
        <charset val="134"/>
      </rPr>
      <t>Locker RM</t>
    </r>
    <phoneticPr fontId="11" type="noConversion"/>
  </si>
  <si>
    <r>
      <t xml:space="preserve">灭菌间 </t>
    </r>
    <r>
      <rPr>
        <sz val="11"/>
        <color rgb="FF000000"/>
        <rFont val="SimSun"/>
        <charset val="134"/>
      </rPr>
      <t>Sterilization RM</t>
    </r>
    <phoneticPr fontId="11" type="noConversion"/>
  </si>
  <si>
    <r>
      <t xml:space="preserve">物料缓冲间 </t>
    </r>
    <r>
      <rPr>
        <sz val="11"/>
        <color rgb="FF000000"/>
        <rFont val="SimSun"/>
        <charset val="134"/>
      </rPr>
      <t>MAL.Buffer</t>
    </r>
    <phoneticPr fontId="11" type="noConversion"/>
  </si>
  <si>
    <r>
      <t xml:space="preserve">仪器生产测试间 </t>
    </r>
    <r>
      <rPr>
        <sz val="11"/>
        <color rgb="FF000000"/>
        <rFont val="SimSun"/>
        <charset val="134"/>
      </rPr>
      <t>Instrument Testing Room</t>
    </r>
    <phoneticPr fontId="11" type="noConversion"/>
  </si>
  <si>
    <t>试剂准备间 Reagent Pre RM</t>
    <phoneticPr fontId="11" type="noConversion"/>
  </si>
  <si>
    <r>
      <t xml:space="preserve">生产车间 </t>
    </r>
    <r>
      <rPr>
        <sz val="11"/>
        <color rgb="FF000000"/>
        <rFont val="SimSun"/>
        <charset val="134"/>
      </rPr>
      <t>Workshop</t>
    </r>
    <phoneticPr fontId="11" type="noConversion"/>
  </si>
  <si>
    <r>
      <t xml:space="preserve">设备间 </t>
    </r>
    <r>
      <rPr>
        <sz val="11"/>
        <color rgb="FF000000"/>
        <rFont val="SimSun"/>
        <charset val="134"/>
      </rPr>
      <t>Equipment Room</t>
    </r>
    <phoneticPr fontId="11" type="noConversion"/>
  </si>
  <si>
    <r>
      <t xml:space="preserve">危废间（丙类） </t>
    </r>
    <r>
      <rPr>
        <sz val="11"/>
        <color rgb="FF000000"/>
        <rFont val="SimSun"/>
        <charset val="134"/>
      </rPr>
      <t>Waste Storage</t>
    </r>
    <phoneticPr fontId="11" type="noConversion"/>
  </si>
  <si>
    <r>
      <t xml:space="preserve">缓冲间 </t>
    </r>
    <r>
      <rPr>
        <sz val="11"/>
        <color rgb="FF000000"/>
        <rFont val="SimSun"/>
        <charset val="134"/>
      </rPr>
      <t>Buffer</t>
    </r>
    <phoneticPr fontId="11" type="noConversion"/>
  </si>
  <si>
    <r>
      <t xml:space="preserve">货梯厅 </t>
    </r>
    <r>
      <rPr>
        <sz val="11"/>
        <color rgb="FF000000"/>
        <rFont val="SimSun"/>
        <charset val="134"/>
      </rPr>
      <t>Lift Lobby</t>
    </r>
    <phoneticPr fontId="11" type="noConversion"/>
  </si>
  <si>
    <r>
      <t>U</t>
    </r>
    <r>
      <rPr>
        <sz val="11"/>
        <color rgb="FF000000"/>
        <rFont val="SimSun"/>
        <charset val="134"/>
      </rPr>
      <t>PS间 UPS RM</t>
    </r>
    <phoneticPr fontId="11" type="noConversion"/>
  </si>
  <si>
    <r>
      <t>0</t>
    </r>
    <r>
      <rPr>
        <sz val="11"/>
        <color rgb="FF000000"/>
        <rFont val="SimSun"/>
        <charset val="134"/>
      </rPr>
      <t>3-2027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</si>
  <si>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3-2028</t>
    </r>
    <r>
      <rPr>
        <sz val="11"/>
        <color theme="1"/>
        <rFont val="等线"/>
        <family val="2"/>
        <charset val="134"/>
        <scheme val="minor"/>
      </rPr>
      <t/>
    </r>
  </si>
  <si>
    <r>
      <t>0</t>
    </r>
    <r>
      <rPr>
        <sz val="11"/>
        <color rgb="FF000000"/>
        <rFont val="SimSun"/>
        <charset val="134"/>
      </rPr>
      <t>3-2029</t>
    </r>
    <r>
      <rPr>
        <sz val="11"/>
        <color theme="1"/>
        <rFont val="等线"/>
        <family val="2"/>
        <charset val="134"/>
        <scheme val="minor"/>
      </rPr>
      <t/>
    </r>
  </si>
  <si>
    <r>
      <t>准备间</t>
    </r>
    <r>
      <rPr>
        <sz val="11"/>
        <color rgb="FF000000"/>
        <rFont val="SimSun"/>
        <charset val="134"/>
      </rPr>
      <t xml:space="preserve"> </t>
    </r>
    <r>
      <rPr>
        <sz val="11"/>
        <color rgb="FF000000"/>
        <rFont val="SimSun"/>
      </rPr>
      <t>P</t>
    </r>
    <r>
      <rPr>
        <sz val="11"/>
        <color rgb="FF000000"/>
        <rFont val="SimSun"/>
        <charset val="134"/>
      </rPr>
      <t>RE RM</t>
    </r>
    <phoneticPr fontId="11" type="noConversion"/>
  </si>
  <si>
    <r>
      <t xml:space="preserve">卫生间前室 </t>
    </r>
    <r>
      <rPr>
        <sz val="11"/>
        <color rgb="FF000000"/>
        <rFont val="SimSun"/>
        <charset val="134"/>
      </rPr>
      <t>Buffer</t>
    </r>
    <phoneticPr fontId="11" type="noConversion"/>
  </si>
  <si>
    <t>男卫生间 Men Washroom</t>
    <phoneticPr fontId="11" type="noConversion"/>
  </si>
  <si>
    <r>
      <t xml:space="preserve">女卫生间 </t>
    </r>
    <r>
      <rPr>
        <sz val="11"/>
        <color rgb="FF000000"/>
        <rFont val="SimSun"/>
        <charset val="134"/>
      </rPr>
      <t>Wom</t>
    </r>
    <r>
      <rPr>
        <sz val="11"/>
        <color rgb="FF000000"/>
        <rFont val="SimSun"/>
      </rPr>
      <t>en Washroom</t>
    </r>
    <phoneticPr fontId="11" type="noConversion"/>
  </si>
  <si>
    <r>
      <t xml:space="preserve">女更衣室 </t>
    </r>
    <r>
      <rPr>
        <sz val="11"/>
        <color rgb="FF000000"/>
        <rFont val="SimSun"/>
        <charset val="134"/>
      </rPr>
      <t>Women Gwon</t>
    </r>
    <phoneticPr fontId="11" type="noConversion"/>
  </si>
  <si>
    <r>
      <t xml:space="preserve">洁具间 </t>
    </r>
    <r>
      <rPr>
        <sz val="11"/>
        <color rgb="FF000000"/>
        <rFont val="SimSun"/>
        <charset val="134"/>
      </rPr>
      <t>OP RM</t>
    </r>
    <phoneticPr fontId="11" type="noConversion"/>
  </si>
  <si>
    <t>走廊 Corridor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</si>
</sst>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00"/>
    <numFmt numFmtId="177" formatCode="#000"/>
  </numFmts>
  <fonts count="40">
    <font>
      <sz val="11"/>
      <color rgb="FF000000"/>
      <name val="SimSun"/>
    </font>
    <font>
      <sz val="11"/>
      <color theme="1"/>
      <name val="等线"/>
      <family val="2"/>
      <charset val="134"/>
      <scheme val="minor"/>
    </font>
    <font>
      <sz val="10"/>
      <color rgb="FF000000"/>
      <name val="Imago"/>
    </font>
    <font>
      <sz val="10"/>
      <color rgb="FF333333"/>
      <name val="Imago"/>
    </font>
    <font>
      <sz val="10"/>
      <name val="Imago"/>
    </font>
    <font>
      <sz val="10"/>
      <name val="SimSun"/>
      <charset val="134"/>
    </font>
    <font>
      <sz val="10"/>
      <name val="Arial"/>
      <family val="2"/>
    </font>
    <font>
      <sz val="11"/>
      <color rgb="FF000000"/>
      <name val="Imago"/>
    </font>
    <font>
      <sz val="10"/>
      <color rgb="FFFF0000"/>
      <name val="Imago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SimSun"/>
      <charset val="134"/>
    </font>
    <font>
      <b/>
      <sz val="10"/>
      <color rgb="FF000000"/>
      <name val="微软雅黑"/>
      <family val="2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Minion"/>
      <family val="1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trike/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Minion"/>
      <family val="3"/>
      <charset val="134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1"/>
      <name val="Minion"/>
      <family val="1"/>
    </font>
    <font>
      <sz val="11"/>
      <color theme="1"/>
      <name val="Arial"/>
      <family val="2"/>
    </font>
    <font>
      <sz val="22"/>
      <color rgb="FF000000"/>
      <name val="Imago"/>
    </font>
    <font>
      <sz val="20"/>
      <color rgb="FF000000"/>
      <name val="SimSun"/>
      <charset val="134"/>
    </font>
    <font>
      <sz val="11"/>
      <color theme="1"/>
      <name val="Imago"/>
    </font>
    <font>
      <b/>
      <sz val="10"/>
      <color rgb="FF000000"/>
      <name val="Imago"/>
    </font>
    <font>
      <b/>
      <sz val="10"/>
      <color rgb="FF000000"/>
      <name val="宋体"/>
      <family val="3"/>
      <charset val="134"/>
    </font>
    <font>
      <strike/>
      <sz val="10"/>
      <color rgb="FF000000"/>
      <name val="等线 Light"/>
      <family val="3"/>
      <charset val="134"/>
    </font>
    <font>
      <strike/>
      <sz val="11"/>
      <color theme="1"/>
      <name val="等线 Light"/>
      <family val="3"/>
      <charset val="134"/>
    </font>
    <font>
      <strike/>
      <sz val="10"/>
      <color rgb="FF000000"/>
      <name val="等线 Light"/>
      <charset val="134"/>
    </font>
    <font>
      <strike/>
      <sz val="11"/>
      <color theme="1"/>
      <name val="等线 Light"/>
      <charset val="134"/>
    </font>
    <font>
      <sz val="11"/>
      <color rgb="FFFF0000"/>
      <name val="宋体"/>
      <family val="3"/>
      <charset val="134"/>
    </font>
    <font>
      <strike/>
      <sz val="11"/>
      <color rgb="FF000000"/>
      <name val="等线 Light"/>
      <charset val="134"/>
    </font>
    <font>
      <strike/>
      <sz val="11"/>
      <color rgb="FFFF0000"/>
      <name val="等线 Light"/>
      <charset val="134"/>
    </font>
    <font>
      <sz val="11"/>
      <color rgb="FFFF0000"/>
      <name val="Calibri"/>
      <family val="2"/>
    </font>
    <font>
      <sz val="11"/>
      <color rgb="FFFF0000"/>
      <name val="Minio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6"/>
        <bgColor indexed="64"/>
      </patternFill>
    </fill>
  </fills>
  <borders count="33">
    <border>
      <left/>
      <right/>
      <top/>
      <bottom/>
      <diagonal/>
    </border>
    <border>
      <left style="thin">
        <color rgb="FFDDD9C3"/>
      </left>
      <right style="thin">
        <color rgb="FFDDD9C3"/>
      </right>
      <top style="thin">
        <color rgb="FFDDD9C3"/>
      </top>
      <bottom style="thin">
        <color rgb="FFDDD9C3"/>
      </bottom>
      <diagonal/>
    </border>
    <border>
      <left style="thin">
        <color rgb="FFDDD9C3"/>
      </left>
      <right/>
      <top style="thin">
        <color rgb="FFDDD9C3"/>
      </top>
      <bottom style="thin">
        <color rgb="FFDDD9C3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DDD9C3"/>
      </left>
      <right style="medium">
        <color rgb="FFDDD9C3"/>
      </right>
      <top style="medium">
        <color rgb="FFDDD9C3"/>
      </top>
      <bottom style="medium">
        <color rgb="FFDDD9C3"/>
      </bottom>
      <diagonal/>
    </border>
    <border>
      <left style="medium">
        <color rgb="FFDDD9C3"/>
      </left>
      <right style="medium">
        <color rgb="FFDDD9C3"/>
      </right>
      <top style="medium">
        <color rgb="FFCCCCCC"/>
      </top>
      <bottom style="medium">
        <color rgb="FFDDD9C3"/>
      </bottom>
      <diagonal/>
    </border>
    <border>
      <left/>
      <right/>
      <top style="thin">
        <color rgb="FFDDD9C3"/>
      </top>
      <bottom style="thin">
        <color rgb="FFDDD9C3"/>
      </bottom>
      <diagonal/>
    </border>
    <border>
      <left style="thin">
        <color rgb="FFDDD9C3"/>
      </left>
      <right style="thin">
        <color rgb="FFDDD9C3"/>
      </right>
      <top style="thin">
        <color rgb="FFDDD9C3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rgb="FFDDD9C3"/>
      </left>
      <right style="medium">
        <color rgb="FFDDD9C3"/>
      </right>
      <top style="medium">
        <color rgb="FFCCCCCC"/>
      </top>
      <bottom/>
      <diagonal/>
    </border>
    <border>
      <left style="thin">
        <color rgb="FFDDD9C3"/>
      </left>
      <right/>
      <top style="thin">
        <color rgb="FFDDD9C3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rgb="FFDDD9C3"/>
      </right>
      <top style="thin">
        <color rgb="FFDDD9C3"/>
      </top>
      <bottom/>
      <diagonal/>
    </border>
    <border>
      <left/>
      <right style="thin">
        <color rgb="FFDDD9C3"/>
      </right>
      <top/>
      <bottom style="thin">
        <color rgb="FFDDD9C3"/>
      </bottom>
      <diagonal/>
    </border>
    <border>
      <left/>
      <right style="thin">
        <color rgb="FFDDD9C3"/>
      </right>
      <top style="thin">
        <color rgb="FFDDD9C3"/>
      </top>
      <bottom style="thin">
        <color rgb="FFDDD9C3"/>
      </bottom>
      <diagonal/>
    </border>
    <border>
      <left style="thin">
        <color rgb="FFDDD9C3"/>
      </left>
      <right style="thin">
        <color rgb="FFDDD9C3"/>
      </right>
      <top/>
      <bottom style="thin">
        <color rgb="FFDDD9C3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9.9978637043366805E-2"/>
      </left>
      <right/>
      <top/>
      <bottom/>
      <diagonal/>
    </border>
  </borders>
  <cellStyleXfs count="3">
    <xf numFmtId="0" fontId="0" fillId="0" borderId="0"/>
    <xf numFmtId="0" fontId="20" fillId="0" borderId="5">
      <alignment vertical="center"/>
    </xf>
    <xf numFmtId="0" fontId="6" fillId="0" borderId="5"/>
  </cellStyleXfs>
  <cellXfs count="327"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7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7" fillId="0" borderId="19" xfId="0" applyNumberFormat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center"/>
    </xf>
    <xf numFmtId="49" fontId="16" fillId="0" borderId="5" xfId="0" applyNumberFormat="1" applyFont="1" applyFill="1" applyBorder="1" applyAlignment="1">
      <alignment horizontal="left" vertical="center" wrapText="1"/>
    </xf>
    <xf numFmtId="49" fontId="16" fillId="6" borderId="6" xfId="0" applyNumberFormat="1" applyFont="1" applyFill="1" applyBorder="1" applyAlignment="1">
      <alignment horizontal="left" vertical="center" wrapText="1"/>
    </xf>
    <xf numFmtId="49" fontId="17" fillId="6" borderId="6" xfId="0" applyNumberFormat="1" applyFont="1" applyFill="1" applyBorder="1" applyAlignment="1">
      <alignment horizontal="left" vertical="center" wrapText="1"/>
    </xf>
    <xf numFmtId="49" fontId="16" fillId="0" borderId="25" xfId="0" applyNumberFormat="1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0" fontId="0" fillId="0" borderId="6" xfId="0" applyFont="1" applyBorder="1" applyAlignment="1">
      <alignment horizontal="center" vertical="top"/>
    </xf>
    <xf numFmtId="49" fontId="16" fillId="6" borderId="6" xfId="0" applyNumberFormat="1" applyFont="1" applyFill="1" applyBorder="1" applyAlignment="1">
      <alignment horizontal="center" vertical="top"/>
    </xf>
    <xf numFmtId="49" fontId="16" fillId="6" borderId="11" xfId="0" applyNumberFormat="1" applyFont="1" applyFill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 applyAlignment="1">
      <alignment horizontal="center" vertical="top"/>
    </xf>
    <xf numFmtId="0" fontId="16" fillId="0" borderId="22" xfId="0" applyFont="1" applyFill="1" applyBorder="1" applyAlignment="1">
      <alignment horizontal="center" vertical="top"/>
    </xf>
    <xf numFmtId="49" fontId="16" fillId="0" borderId="22" xfId="0" applyNumberFormat="1" applyFont="1" applyFill="1" applyBorder="1" applyAlignment="1">
      <alignment horizontal="center" vertical="top"/>
    </xf>
    <xf numFmtId="49" fontId="16" fillId="0" borderId="17" xfId="0" applyNumberFormat="1" applyFont="1" applyFill="1" applyBorder="1" applyAlignment="1">
      <alignment horizontal="center" vertical="top"/>
    </xf>
    <xf numFmtId="49" fontId="16" fillId="0" borderId="6" xfId="0" applyNumberFormat="1" applyFont="1" applyFill="1" applyBorder="1" applyAlignment="1">
      <alignment horizontal="center" vertical="top"/>
    </xf>
    <xf numFmtId="49" fontId="16" fillId="0" borderId="11" xfId="0" applyNumberFormat="1" applyFont="1" applyFill="1" applyBorder="1" applyAlignment="1">
      <alignment horizontal="center" vertical="top"/>
    </xf>
    <xf numFmtId="49" fontId="16" fillId="0" borderId="25" xfId="0" applyNumberFormat="1" applyFont="1" applyFill="1" applyBorder="1" applyAlignment="1">
      <alignment horizontal="center" vertical="top"/>
    </xf>
    <xf numFmtId="0" fontId="16" fillId="0" borderId="5" xfId="1" applyFont="1" applyAlignment="1">
      <alignment horizontal="center" vertical="center"/>
    </xf>
    <xf numFmtId="0" fontId="16" fillId="0" borderId="22" xfId="1" applyFont="1" applyFill="1" applyBorder="1" applyAlignment="1">
      <alignment horizontal="center" vertical="center"/>
    </xf>
    <xf numFmtId="0" fontId="16" fillId="0" borderId="5" xfId="1" applyFont="1" applyFill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0" fontId="16" fillId="0" borderId="26" xfId="1" applyFont="1" applyFill="1" applyBorder="1" applyAlignment="1">
      <alignment horizontal="center" vertical="center"/>
    </xf>
    <xf numFmtId="0" fontId="16" fillId="0" borderId="25" xfId="1" applyFont="1" applyFill="1" applyBorder="1" applyAlignment="1">
      <alignment horizontal="center" vertical="center"/>
    </xf>
    <xf numFmtId="0" fontId="17" fillId="0" borderId="22" xfId="1" applyFont="1" applyFill="1" applyBorder="1" applyAlignment="1">
      <alignment horizontal="left" vertical="top" wrapText="1"/>
    </xf>
    <xf numFmtId="49" fontId="22" fillId="0" borderId="5" xfId="0" applyNumberFormat="1" applyFont="1" applyFill="1" applyBorder="1" applyAlignment="1">
      <alignment horizontal="center" vertical="center"/>
    </xf>
    <xf numFmtId="49" fontId="23" fillId="0" borderId="5" xfId="0" applyNumberFormat="1" applyFont="1" applyFill="1" applyBorder="1" applyAlignment="1">
      <alignment horizontal="center" vertical="center"/>
    </xf>
    <xf numFmtId="176" fontId="22" fillId="0" borderId="5" xfId="0" applyNumberFormat="1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horizontal="center" vertical="center"/>
    </xf>
    <xf numFmtId="176" fontId="22" fillId="0" borderId="6" xfId="0" applyNumberFormat="1" applyFont="1" applyFill="1" applyBorder="1" applyAlignment="1">
      <alignment horizontal="center" vertical="center"/>
    </xf>
    <xf numFmtId="176" fontId="22" fillId="6" borderId="6" xfId="0" applyNumberFormat="1" applyFont="1" applyFill="1" applyBorder="1" applyAlignment="1">
      <alignment horizontal="center" vertical="center"/>
    </xf>
    <xf numFmtId="176" fontId="22" fillId="0" borderId="25" xfId="0" applyNumberFormat="1" applyFont="1" applyFill="1" applyBorder="1" applyAlignment="1">
      <alignment horizontal="center" vertical="center"/>
    </xf>
    <xf numFmtId="176" fontId="22" fillId="0" borderId="30" xfId="0" applyNumberFormat="1" applyFont="1" applyFill="1" applyBorder="1" applyAlignment="1">
      <alignment horizontal="center" vertical="center"/>
    </xf>
    <xf numFmtId="176" fontId="22" fillId="6" borderId="30" xfId="0" applyNumberFormat="1" applyFont="1" applyFill="1" applyBorder="1" applyAlignment="1">
      <alignment horizontal="center" vertical="center"/>
    </xf>
    <xf numFmtId="49" fontId="16" fillId="0" borderId="30" xfId="0" applyNumberFormat="1" applyFont="1" applyFill="1" applyBorder="1" applyAlignment="1">
      <alignment horizontal="left" vertical="center" wrapText="1"/>
    </xf>
    <xf numFmtId="49" fontId="25" fillId="0" borderId="30" xfId="0" applyNumberFormat="1" applyFont="1" applyFill="1" applyBorder="1" applyAlignment="1">
      <alignment horizontal="left" vertical="center" wrapText="1"/>
    </xf>
    <xf numFmtId="49" fontId="14" fillId="0" borderId="5" xfId="2" applyNumberFormat="1" applyFont="1" applyFill="1" applyBorder="1" applyAlignment="1">
      <alignment horizontal="center"/>
    </xf>
    <xf numFmtId="49" fontId="22" fillId="0" borderId="5" xfId="0" applyNumberFormat="1" applyFont="1" applyFill="1" applyBorder="1" applyAlignment="1">
      <alignment horizontal="left" vertical="center" wrapText="1"/>
    </xf>
    <xf numFmtId="177" fontId="22" fillId="0" borderId="5" xfId="0" applyNumberFormat="1" applyFont="1" applyFill="1" applyBorder="1" applyAlignment="1">
      <alignment horizontal="center" vertical="center"/>
    </xf>
    <xf numFmtId="49" fontId="14" fillId="0" borderId="5" xfId="2" applyNumberFormat="1" applyFont="1" applyFill="1" applyBorder="1" applyAlignment="1">
      <alignment horizontal="left" wrapText="1"/>
    </xf>
    <xf numFmtId="0" fontId="16" fillId="0" borderId="24" xfId="1" applyFont="1" applyFill="1" applyBorder="1" applyAlignment="1">
      <alignment horizontal="center" vertical="center"/>
    </xf>
    <xf numFmtId="0" fontId="17" fillId="0" borderId="5" xfId="1" applyFont="1" applyFill="1" applyAlignment="1">
      <alignment horizontal="center" vertical="center"/>
    </xf>
    <xf numFmtId="0" fontId="21" fillId="0" borderId="22" xfId="1" applyFont="1" applyFill="1" applyBorder="1" applyAlignment="1">
      <alignment horizontal="left" vertical="top" wrapText="1"/>
    </xf>
    <xf numFmtId="0" fontId="21" fillId="0" borderId="5" xfId="1" applyFont="1" applyAlignment="1">
      <alignment horizontal="left" vertical="top" wrapText="1"/>
    </xf>
    <xf numFmtId="0" fontId="17" fillId="0" borderId="17" xfId="1" applyFont="1" applyFill="1" applyBorder="1" applyAlignment="1">
      <alignment horizontal="left" vertical="top" wrapText="1"/>
    </xf>
    <xf numFmtId="0" fontId="21" fillId="0" borderId="14" xfId="1" applyFont="1" applyFill="1" applyBorder="1" applyAlignment="1">
      <alignment horizontal="left" vertical="top" wrapText="1"/>
    </xf>
    <xf numFmtId="0" fontId="16" fillId="0" borderId="14" xfId="1" applyFont="1" applyFill="1" applyBorder="1" applyAlignment="1">
      <alignment horizontal="left" vertical="top" wrapText="1"/>
    </xf>
    <xf numFmtId="0" fontId="16" fillId="0" borderId="27" xfId="1" applyFont="1" applyFill="1" applyBorder="1" applyAlignment="1">
      <alignment horizontal="left" vertical="top" wrapText="1"/>
    </xf>
    <xf numFmtId="0" fontId="21" fillId="0" borderId="5" xfId="1" applyFont="1" applyFill="1" applyAlignment="1">
      <alignment horizontal="left" vertical="top" wrapText="1"/>
    </xf>
    <xf numFmtId="0" fontId="17" fillId="0" borderId="5" xfId="1" applyFont="1" applyFill="1" applyAlignment="1">
      <alignment horizontal="left" vertical="top" wrapText="1"/>
    </xf>
    <xf numFmtId="0" fontId="21" fillId="0" borderId="6" xfId="1" applyFont="1" applyFill="1" applyBorder="1" applyAlignment="1">
      <alignment horizontal="left" vertical="top" wrapText="1"/>
    </xf>
    <xf numFmtId="0" fontId="21" fillId="0" borderId="23" xfId="1" applyFont="1" applyFill="1" applyBorder="1" applyAlignment="1">
      <alignment horizontal="left" vertical="top" wrapText="1"/>
    </xf>
    <xf numFmtId="0" fontId="21" fillId="0" borderId="22" xfId="1" applyFont="1" applyBorder="1" applyAlignment="1">
      <alignment horizontal="left" vertical="top" wrapText="1"/>
    </xf>
    <xf numFmtId="0" fontId="21" fillId="6" borderId="22" xfId="1" applyFont="1" applyFill="1" applyBorder="1" applyAlignment="1">
      <alignment horizontal="left" vertical="top" wrapText="1"/>
    </xf>
    <xf numFmtId="0" fontId="16" fillId="0" borderId="22" xfId="1" applyFont="1" applyFill="1" applyBorder="1" applyAlignment="1">
      <alignment horizontal="left" vertical="top" wrapText="1"/>
    </xf>
    <xf numFmtId="0" fontId="17" fillId="0" borderId="26" xfId="1" applyFont="1" applyFill="1" applyBorder="1" applyAlignment="1">
      <alignment horizontal="left" vertical="top" wrapText="1"/>
    </xf>
    <xf numFmtId="0" fontId="21" fillId="0" borderId="25" xfId="1" applyFont="1" applyFill="1" applyBorder="1" applyAlignment="1">
      <alignment horizontal="left" vertical="top" wrapText="1"/>
    </xf>
    <xf numFmtId="0" fontId="17" fillId="0" borderId="25" xfId="1" applyFont="1" applyFill="1" applyBorder="1" applyAlignment="1">
      <alignment horizontal="left" vertical="top" wrapText="1"/>
    </xf>
    <xf numFmtId="0" fontId="17" fillId="0" borderId="11" xfId="1" applyFont="1" applyFill="1" applyBorder="1" applyAlignment="1">
      <alignment horizontal="left" vertical="top" wrapText="1"/>
    </xf>
    <xf numFmtId="0" fontId="16" fillId="0" borderId="5" xfId="1" applyFont="1" applyFill="1" applyAlignment="1">
      <alignment horizontal="left" vertical="top" wrapText="1"/>
    </xf>
    <xf numFmtId="0" fontId="21" fillId="0" borderId="22" xfId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49" fontId="17" fillId="0" borderId="22" xfId="0" applyNumberFormat="1" applyFont="1" applyFill="1" applyBorder="1" applyAlignment="1">
      <alignment horizontal="center" vertical="top"/>
    </xf>
    <xf numFmtId="0" fontId="21" fillId="0" borderId="11" xfId="1" applyFont="1" applyFill="1" applyBorder="1" applyAlignment="1">
      <alignment horizontal="left" vertical="top" wrapText="1"/>
    </xf>
    <xf numFmtId="49" fontId="14" fillId="0" borderId="29" xfId="2" applyNumberFormat="1" applyFont="1" applyFill="1" applyBorder="1" applyAlignment="1">
      <alignment horizontal="left" wrapText="1"/>
    </xf>
    <xf numFmtId="0" fontId="26" fillId="0" borderId="6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top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11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2" fillId="11" borderId="0" xfId="0" applyFont="1" applyFill="1" applyAlignment="1">
      <alignment horizontal="center" vertical="center"/>
    </xf>
    <xf numFmtId="0" fontId="2" fillId="11" borderId="7" xfId="0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top"/>
    </xf>
    <xf numFmtId="0" fontId="9" fillId="12" borderId="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vertical="center"/>
    </xf>
    <xf numFmtId="0" fontId="2" fillId="11" borderId="5" xfId="0" applyFont="1" applyFill="1" applyBorder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vertical="center"/>
    </xf>
    <xf numFmtId="0" fontId="7" fillId="11" borderId="5" xfId="0" applyFont="1" applyFill="1" applyBorder="1" applyAlignment="1">
      <alignment horizontal="center" vertical="center"/>
    </xf>
    <xf numFmtId="49" fontId="16" fillId="0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11" borderId="0" xfId="0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7" borderId="7" xfId="0" applyFont="1" applyFill="1" applyBorder="1" applyAlignment="1">
      <alignment horizontal="center" vertical="center" wrapText="1"/>
    </xf>
    <xf numFmtId="0" fontId="32" fillId="0" borderId="22" xfId="1" applyFont="1" applyFill="1" applyBorder="1" applyAlignment="1">
      <alignment horizontal="center" vertical="center"/>
    </xf>
    <xf numFmtId="0" fontId="32" fillId="0" borderId="22" xfId="1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0" borderId="6" xfId="0" applyFont="1" applyFill="1" applyBorder="1" applyAlignment="1">
      <alignment horizontal="center" vertical="center"/>
    </xf>
    <xf numFmtId="0" fontId="31" fillId="0" borderId="14" xfId="0" applyFont="1" applyFill="1" applyBorder="1" applyAlignment="1">
      <alignment horizontal="center" vertical="center"/>
    </xf>
    <xf numFmtId="0" fontId="31" fillId="0" borderId="6" xfId="0" applyFont="1" applyFill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5" xfId="1" applyFont="1" applyAlignment="1">
      <alignment horizontal="center" vertical="center"/>
    </xf>
    <xf numFmtId="0" fontId="31" fillId="0" borderId="5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5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0" fontId="2" fillId="12" borderId="2" xfId="0" applyFont="1" applyFill="1" applyBorder="1" applyAlignment="1">
      <alignment horizontal="center" vertical="top"/>
    </xf>
    <xf numFmtId="0" fontId="2" fillId="12" borderId="5" xfId="0" applyFont="1" applyFill="1" applyBorder="1" applyAlignment="1">
      <alignment horizontal="center" vertical="top"/>
    </xf>
    <xf numFmtId="0" fontId="2" fillId="11" borderId="5" xfId="0" applyFont="1" applyFill="1" applyBorder="1" applyAlignment="1">
      <alignment horizontal="center" vertical="top"/>
    </xf>
    <xf numFmtId="0" fontId="2" fillId="10" borderId="6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0" fillId="0" borderId="0" xfId="0" applyFont="1" applyAlignment="1">
      <alignment vertical="top"/>
    </xf>
    <xf numFmtId="0" fontId="16" fillId="0" borderId="0" xfId="0" applyFont="1" applyFill="1" applyAlignment="1">
      <alignment horizontal="left" vertical="top" wrapText="1"/>
    </xf>
    <xf numFmtId="0" fontId="16" fillId="0" borderId="23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6" fillId="0" borderId="6" xfId="0" applyFont="1" applyFill="1" applyBorder="1" applyAlignment="1">
      <alignment horizontal="left" vertical="top" wrapText="1"/>
    </xf>
    <xf numFmtId="49" fontId="14" fillId="0" borderId="29" xfId="2" applyNumberFormat="1" applyFont="1" applyFill="1" applyBorder="1" applyAlignment="1">
      <alignment horizontal="left" vertical="top" wrapText="1"/>
    </xf>
    <xf numFmtId="0" fontId="14" fillId="0" borderId="6" xfId="0" applyFont="1" applyFill="1" applyBorder="1" applyAlignment="1">
      <alignment horizontal="left" vertical="top"/>
    </xf>
    <xf numFmtId="0" fontId="9" fillId="12" borderId="6" xfId="0" applyFont="1" applyFill="1" applyBorder="1" applyAlignment="1">
      <alignment horizontal="left" vertical="top"/>
    </xf>
    <xf numFmtId="0" fontId="17" fillId="0" borderId="23" xfId="0" applyFont="1" applyFill="1" applyBorder="1" applyAlignment="1">
      <alignment horizontal="left" vertical="top" wrapText="1"/>
    </xf>
    <xf numFmtId="0" fontId="24" fillId="0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6" fillId="6" borderId="6" xfId="0" applyFont="1" applyFill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/>
    </xf>
    <xf numFmtId="0" fontId="10" fillId="3" borderId="21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12" borderId="6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9" fillId="11" borderId="6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top" wrapText="1"/>
    </xf>
    <xf numFmtId="0" fontId="28" fillId="0" borderId="6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vertical="top"/>
    </xf>
    <xf numFmtId="0" fontId="9" fillId="2" borderId="6" xfId="0" applyFont="1" applyFill="1" applyBorder="1" applyAlignment="1">
      <alignment vertical="top"/>
    </xf>
    <xf numFmtId="0" fontId="9" fillId="2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vertical="center"/>
    </xf>
    <xf numFmtId="49" fontId="22" fillId="0" borderId="31" xfId="0" applyNumberFormat="1" applyFont="1" applyFill="1" applyBorder="1" applyAlignment="1">
      <alignment horizontal="left" vertical="center" wrapText="1"/>
    </xf>
    <xf numFmtId="49" fontId="22" fillId="6" borderId="31" xfId="0" applyNumberFormat="1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top"/>
    </xf>
    <xf numFmtId="0" fontId="9" fillId="8" borderId="6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vertical="center"/>
    </xf>
    <xf numFmtId="0" fontId="2" fillId="8" borderId="16" xfId="0" applyFont="1" applyFill="1" applyBorder="1" applyAlignment="1">
      <alignment vertical="center"/>
    </xf>
    <xf numFmtId="0" fontId="9" fillId="0" borderId="10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top"/>
    </xf>
    <xf numFmtId="0" fontId="9" fillId="2" borderId="3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49" fontId="7" fillId="0" borderId="31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49" fontId="16" fillId="0" borderId="5" xfId="0" applyNumberFormat="1" applyFont="1" applyFill="1" applyBorder="1" applyAlignment="1">
      <alignment horizontal="left" vertical="top" wrapText="1"/>
    </xf>
    <xf numFmtId="0" fontId="0" fillId="0" borderId="0" xfId="0" applyFont="1" applyAlignment="1">
      <alignment horizontal="right" vertical="center"/>
    </xf>
    <xf numFmtId="0" fontId="0" fillId="15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7" fillId="0" borderId="0" xfId="0" applyFont="1" applyFill="1" applyAlignment="1">
      <alignment horizontal="left" vertical="top" wrapText="1"/>
    </xf>
    <xf numFmtId="0" fontId="0" fillId="0" borderId="32" xfId="0" applyFont="1" applyFill="1" applyBorder="1" applyAlignment="1">
      <alignment horizontal="center" vertical="top"/>
    </xf>
    <xf numFmtId="0" fontId="33" fillId="0" borderId="6" xfId="0" applyFont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49" fontId="34" fillId="0" borderId="6" xfId="0" applyNumberFormat="1" applyFont="1" applyFill="1" applyBorder="1" applyAlignment="1">
      <alignment horizontal="center" vertical="top"/>
    </xf>
    <xf numFmtId="0" fontId="33" fillId="0" borderId="6" xfId="0" applyFont="1" applyBorder="1" applyAlignment="1">
      <alignment horizontal="left" vertical="top" wrapText="1"/>
    </xf>
    <xf numFmtId="0" fontId="33" fillId="0" borderId="6" xfId="0" applyFont="1" applyBorder="1" applyAlignment="1">
      <alignment horizontal="center" vertical="top" wrapText="1"/>
    </xf>
    <xf numFmtId="49" fontId="16" fillId="0" borderId="5" xfId="0" applyNumberFormat="1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35" fillId="0" borderId="25" xfId="1" applyFont="1" applyFill="1" applyBorder="1" applyAlignment="1">
      <alignment horizontal="left" vertical="top" wrapText="1"/>
    </xf>
    <xf numFmtId="0" fontId="35" fillId="0" borderId="17" xfId="1" applyFont="1" applyFill="1" applyBorder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33" fillId="7" borderId="7" xfId="0" applyFont="1" applyFill="1" applyBorder="1" applyAlignment="1">
      <alignment horizontal="center" vertical="center" wrapText="1"/>
    </xf>
    <xf numFmtId="0" fontId="34" fillId="0" borderId="22" xfId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/>
    </xf>
    <xf numFmtId="49" fontId="36" fillId="0" borderId="9" xfId="0" applyNumberFormat="1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3" fillId="0" borderId="14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17" fillId="0" borderId="28" xfId="1" applyFont="1" applyFill="1" applyBorder="1" applyAlignment="1">
      <alignment horizontal="left" vertical="top" wrapText="1"/>
    </xf>
    <xf numFmtId="0" fontId="34" fillId="0" borderId="5" xfId="1" applyFont="1" applyFill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49" fontId="36" fillId="0" borderId="19" xfId="0" applyNumberFormat="1" applyFont="1" applyFill="1" applyBorder="1" applyAlignment="1">
      <alignment horizontal="center" vertical="center"/>
    </xf>
    <xf numFmtId="0" fontId="37" fillId="0" borderId="6" xfId="1" applyFont="1" applyFill="1" applyBorder="1" applyAlignment="1">
      <alignment horizontal="left" vertical="top" wrapText="1"/>
    </xf>
    <xf numFmtId="0" fontId="37" fillId="6" borderId="6" xfId="1" applyFont="1" applyFill="1" applyBorder="1" applyAlignment="1">
      <alignment horizontal="left" vertical="top" wrapText="1"/>
    </xf>
    <xf numFmtId="0" fontId="37" fillId="0" borderId="22" xfId="1" applyFont="1" applyFill="1" applyBorder="1" applyAlignment="1">
      <alignment horizontal="left" vertical="top" wrapText="1"/>
    </xf>
    <xf numFmtId="0" fontId="36" fillId="0" borderId="0" xfId="0" applyFont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7" fillId="0" borderId="23" xfId="0" applyFont="1" applyFill="1" applyBorder="1" applyAlignment="1">
      <alignment horizontal="left" vertical="top" wrapText="1"/>
    </xf>
    <xf numFmtId="49" fontId="38" fillId="0" borderId="5" xfId="0" applyNumberFormat="1" applyFont="1" applyFill="1" applyBorder="1" applyAlignment="1">
      <alignment horizontal="center" vertical="center"/>
    </xf>
    <xf numFmtId="0" fontId="39" fillId="0" borderId="0" xfId="0" applyFont="1" applyFill="1" applyAlignment="1">
      <alignment horizontal="left" vertical="top" wrapText="1"/>
    </xf>
    <xf numFmtId="49" fontId="39" fillId="0" borderId="5" xfId="0" applyNumberFormat="1" applyFont="1" applyFill="1" applyBorder="1" applyAlignment="1">
      <alignment horizontal="left" vertical="center" wrapText="1"/>
    </xf>
    <xf numFmtId="49" fontId="35" fillId="0" borderId="5" xfId="0" applyNumberFormat="1" applyFont="1" applyFill="1" applyBorder="1" applyAlignment="1">
      <alignment horizontal="left" vertical="center" wrapText="1"/>
    </xf>
    <xf numFmtId="49" fontId="35" fillId="0" borderId="29" xfId="2" applyNumberFormat="1" applyFont="1" applyFill="1" applyBorder="1" applyAlignment="1">
      <alignment horizontal="left" wrapText="1"/>
    </xf>
    <xf numFmtId="49" fontId="39" fillId="6" borderId="11" xfId="0" applyNumberFormat="1" applyFont="1" applyFill="1" applyBorder="1" applyAlignment="1">
      <alignment horizontal="left" vertical="center" wrapText="1"/>
    </xf>
    <xf numFmtId="49" fontId="35" fillId="0" borderId="6" xfId="0" applyNumberFormat="1" applyFont="1" applyFill="1" applyBorder="1" applyAlignment="1">
      <alignment horizontal="left" vertical="center" wrapText="1"/>
    </xf>
    <xf numFmtId="49" fontId="38" fillId="0" borderId="30" xfId="0" applyNumberFormat="1" applyFont="1" applyFill="1" applyBorder="1" applyAlignment="1">
      <alignment horizontal="left" vertical="center" wrapText="1"/>
    </xf>
    <xf numFmtId="49" fontId="39" fillId="6" borderId="30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</cellXfs>
  <cellStyles count="3">
    <cellStyle name="常规" xfId="0" builtinId="0"/>
    <cellStyle name="常规 2" xfId="1"/>
    <cellStyle name="样式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XDF212"/>
  <sheetViews>
    <sheetView zoomScale="85" zoomScaleNormal="85" workbookViewId="0">
      <pane ySplit="2" topLeftCell="A180" activePane="bottomLeft" state="frozen"/>
      <selection activeCell="D103" sqref="D103"/>
      <selection pane="bottomLeft" activeCell="D201" sqref="D201"/>
    </sheetView>
  </sheetViews>
  <sheetFormatPr defaultColWidth="12.6640625" defaultRowHeight="15" customHeight="1"/>
  <cols>
    <col min="1" max="1" width="12.6640625" style="74"/>
    <col min="2" max="2" width="15.88671875" customWidth="1"/>
    <col min="3" max="3" width="15.109375" style="84" customWidth="1"/>
    <col min="4" max="4" width="29.109375" style="217" customWidth="1"/>
    <col min="5" max="5" width="16.6640625" style="74" customWidth="1"/>
    <col min="6" max="6" width="25.77734375" customWidth="1"/>
    <col min="7" max="7" width="26.33203125" customWidth="1"/>
    <col min="8" max="8" width="18" customWidth="1"/>
    <col min="9" max="9" width="11.77734375" customWidth="1"/>
    <col min="10" max="10" width="21.77734375" style="43" customWidth="1"/>
    <col min="11" max="14" width="27.21875" style="43" customWidth="1"/>
    <col min="15" max="15" width="12.44140625" style="43" customWidth="1"/>
    <col min="16" max="16" width="18.33203125" style="43" customWidth="1"/>
    <col min="17" max="17" width="21.33203125" style="43" customWidth="1"/>
    <col min="18" max="19" width="20.6640625" style="43" customWidth="1"/>
    <col min="20" max="20" width="4" style="43" customWidth="1"/>
  </cols>
  <sheetData>
    <row r="1" spans="1:21" ht="47.25" customHeight="1">
      <c r="B1" s="8"/>
      <c r="C1" s="81"/>
      <c r="D1" s="216"/>
      <c r="E1" s="11"/>
      <c r="F1" s="11"/>
      <c r="G1" s="11"/>
      <c r="H1" s="163" t="s">
        <v>940</v>
      </c>
      <c r="I1" s="70"/>
      <c r="J1" s="38"/>
      <c r="K1" s="38"/>
      <c r="L1" s="38"/>
      <c r="M1" s="38"/>
      <c r="N1" s="38"/>
      <c r="O1" s="65"/>
      <c r="P1" s="61"/>
      <c r="Q1" s="30"/>
      <c r="R1" s="30"/>
      <c r="S1" s="31"/>
      <c r="T1" s="32"/>
      <c r="U1" s="25"/>
    </row>
    <row r="2" spans="1:21" ht="14.25" customHeight="1">
      <c r="A2" s="76" t="s">
        <v>77</v>
      </c>
      <c r="B2" s="66" t="s">
        <v>35</v>
      </c>
      <c r="C2" s="91" t="s">
        <v>0</v>
      </c>
      <c r="D2" s="242" t="s">
        <v>2</v>
      </c>
      <c r="E2" s="68" t="s">
        <v>542</v>
      </c>
      <c r="F2" s="69" t="s">
        <v>4</v>
      </c>
      <c r="G2" s="67" t="s">
        <v>6</v>
      </c>
      <c r="H2" s="67" t="s">
        <v>40</v>
      </c>
      <c r="I2" s="67" t="s">
        <v>7</v>
      </c>
      <c r="J2" s="59" t="s">
        <v>9</v>
      </c>
      <c r="K2" s="59" t="s">
        <v>81</v>
      </c>
      <c r="L2" s="59" t="s">
        <v>922</v>
      </c>
      <c r="M2" s="73" t="s">
        <v>1076</v>
      </c>
      <c r="N2" s="73" t="s">
        <v>93</v>
      </c>
      <c r="O2" s="64" t="s">
        <v>11</v>
      </c>
      <c r="P2" s="61"/>
      <c r="Q2" s="30"/>
      <c r="R2" s="30"/>
      <c r="S2" s="31"/>
      <c r="T2" s="32"/>
      <c r="U2" s="25"/>
    </row>
    <row r="3" spans="1:21" thickBot="1">
      <c r="A3" s="76" t="s">
        <v>78</v>
      </c>
      <c r="B3" s="44" t="s">
        <v>34</v>
      </c>
      <c r="C3" s="92" t="s">
        <v>1</v>
      </c>
      <c r="D3" s="243" t="s">
        <v>3</v>
      </c>
      <c r="E3" s="44" t="s">
        <v>948</v>
      </c>
      <c r="F3" s="44" t="s">
        <v>5</v>
      </c>
      <c r="G3" s="44" t="s">
        <v>949</v>
      </c>
      <c r="H3" s="45" t="s">
        <v>41</v>
      </c>
      <c r="I3" s="44" t="s">
        <v>8</v>
      </c>
      <c r="J3" s="60" t="s">
        <v>10</v>
      </c>
      <c r="K3" s="60" t="s">
        <v>80</v>
      </c>
      <c r="L3" s="60" t="s">
        <v>79</v>
      </c>
      <c r="M3" s="60" t="s">
        <v>75</v>
      </c>
      <c r="N3" s="60" t="s">
        <v>74</v>
      </c>
      <c r="O3" s="58" t="s">
        <v>12</v>
      </c>
      <c r="P3" s="34"/>
      <c r="Q3" s="33"/>
      <c r="R3" s="33"/>
      <c r="S3" s="34"/>
      <c r="T3" s="32"/>
      <c r="U3" s="25"/>
    </row>
    <row r="4" spans="1:21" s="12" customFormat="1" ht="14.25" customHeight="1" thickBot="1">
      <c r="A4" s="75">
        <v>211</v>
      </c>
      <c r="B4" s="9" t="s">
        <v>13</v>
      </c>
      <c r="C4" s="93" t="s">
        <v>18</v>
      </c>
      <c r="D4" s="4" t="s">
        <v>24</v>
      </c>
      <c r="E4" s="1">
        <v>18.8</v>
      </c>
      <c r="F4" s="24" t="s">
        <v>56</v>
      </c>
      <c r="G4" s="22" t="s">
        <v>71</v>
      </c>
      <c r="H4" s="8" t="s">
        <v>62</v>
      </c>
      <c r="I4" s="8" t="s">
        <v>38</v>
      </c>
      <c r="J4" s="258" t="s">
        <v>1132</v>
      </c>
      <c r="K4" s="8"/>
      <c r="L4" s="8" t="s">
        <v>76</v>
      </c>
      <c r="M4" s="71"/>
      <c r="N4" s="71"/>
      <c r="O4" s="38"/>
      <c r="P4" s="62"/>
      <c r="Q4" s="35"/>
      <c r="R4" s="35"/>
      <c r="S4" s="36"/>
      <c r="T4" s="37"/>
      <c r="U4" s="17"/>
    </row>
    <row r="5" spans="1:21" s="12" customFormat="1" ht="14.25" customHeight="1" thickBot="1">
      <c r="A5" s="75">
        <v>211</v>
      </c>
      <c r="B5" s="9" t="s">
        <v>13</v>
      </c>
      <c r="C5" s="94" t="s">
        <v>14</v>
      </c>
      <c r="D5" s="244" t="s">
        <v>25</v>
      </c>
      <c r="E5" s="1">
        <v>82.6</v>
      </c>
      <c r="F5" s="14" t="s">
        <v>50</v>
      </c>
      <c r="G5" s="22" t="s">
        <v>71</v>
      </c>
      <c r="H5" s="8" t="s">
        <v>65</v>
      </c>
      <c r="I5" s="8" t="s">
        <v>39</v>
      </c>
      <c r="J5" s="258" t="s">
        <v>1133</v>
      </c>
      <c r="K5" s="8"/>
      <c r="L5" s="8" t="s">
        <v>76</v>
      </c>
      <c r="M5" s="71"/>
      <c r="N5" s="71"/>
      <c r="O5" s="38"/>
      <c r="P5" s="63"/>
      <c r="Q5" s="38"/>
      <c r="R5" s="38"/>
      <c r="S5" s="39"/>
      <c r="T5" s="37"/>
      <c r="U5" s="17"/>
    </row>
    <row r="6" spans="1:21" s="12" customFormat="1" ht="14.4" thickBot="1">
      <c r="A6" s="75">
        <v>211</v>
      </c>
      <c r="B6" s="9" t="s">
        <v>13</v>
      </c>
      <c r="C6" s="95" t="s">
        <v>15</v>
      </c>
      <c r="D6" s="4" t="s">
        <v>26</v>
      </c>
      <c r="E6" s="1">
        <v>84.3</v>
      </c>
      <c r="F6" s="14" t="s">
        <v>50</v>
      </c>
      <c r="G6" s="22" t="s">
        <v>71</v>
      </c>
      <c r="H6" s="8" t="s">
        <v>62</v>
      </c>
      <c r="I6" s="8" t="s">
        <v>38</v>
      </c>
      <c r="J6" s="258" t="s">
        <v>1133</v>
      </c>
      <c r="K6" s="8"/>
      <c r="L6" s="8" t="s">
        <v>76</v>
      </c>
      <c r="M6" s="71"/>
      <c r="N6" s="71"/>
      <c r="O6" s="38"/>
      <c r="P6" s="63"/>
      <c r="Q6" s="38"/>
      <c r="R6" s="38"/>
      <c r="S6" s="39"/>
      <c r="T6" s="37"/>
      <c r="U6" s="17"/>
    </row>
    <row r="7" spans="1:21" s="12" customFormat="1" ht="14.25" customHeight="1" thickBot="1">
      <c r="A7" s="75">
        <v>211</v>
      </c>
      <c r="B7" s="9" t="s">
        <v>13</v>
      </c>
      <c r="C7" s="93" t="s">
        <v>16</v>
      </c>
      <c r="D7" s="4" t="s">
        <v>27</v>
      </c>
      <c r="E7" s="1">
        <v>173.6</v>
      </c>
      <c r="F7" s="56" t="s">
        <v>53</v>
      </c>
      <c r="G7" s="22" t="s">
        <v>71</v>
      </c>
      <c r="H7" s="8" t="s">
        <v>62</v>
      </c>
      <c r="I7" s="8" t="s">
        <v>38</v>
      </c>
      <c r="J7" s="258" t="s">
        <v>1132</v>
      </c>
      <c r="K7" s="8"/>
      <c r="L7" s="8" t="s">
        <v>76</v>
      </c>
      <c r="M7" s="71"/>
      <c r="N7" s="71"/>
      <c r="O7" s="38"/>
      <c r="P7" s="63"/>
      <c r="Q7" s="38"/>
      <c r="R7" s="38"/>
      <c r="S7" s="39"/>
      <c r="T7" s="37"/>
      <c r="U7" s="17"/>
    </row>
    <row r="8" spans="1:21" s="12" customFormat="1" ht="14.25" customHeight="1" thickBot="1">
      <c r="A8" s="75">
        <v>211</v>
      </c>
      <c r="B8" s="9" t="s">
        <v>13</v>
      </c>
      <c r="C8" s="93" t="s">
        <v>17</v>
      </c>
      <c r="D8" s="4" t="s">
        <v>27</v>
      </c>
      <c r="E8" s="1">
        <v>151.30000000000001</v>
      </c>
      <c r="F8" s="56" t="s">
        <v>54</v>
      </c>
      <c r="G8" s="22" t="s">
        <v>71</v>
      </c>
      <c r="H8" s="8" t="s">
        <v>62</v>
      </c>
      <c r="I8" s="8" t="s">
        <v>38</v>
      </c>
      <c r="J8" s="258" t="s">
        <v>1132</v>
      </c>
      <c r="K8" s="8"/>
      <c r="L8" s="8" t="s">
        <v>76</v>
      </c>
      <c r="M8" s="71"/>
      <c r="N8" s="71"/>
      <c r="O8" s="38"/>
      <c r="P8" s="63"/>
      <c r="Q8" s="38"/>
      <c r="R8" s="38"/>
      <c r="S8" s="39"/>
      <c r="T8" s="37"/>
      <c r="U8" s="17"/>
    </row>
    <row r="9" spans="1:21" s="12" customFormat="1" ht="14.25" customHeight="1" thickBot="1">
      <c r="A9" s="75">
        <v>211</v>
      </c>
      <c r="B9" s="9" t="s">
        <v>13</v>
      </c>
      <c r="C9" s="93" t="s">
        <v>19</v>
      </c>
      <c r="D9" s="4" t="s">
        <v>28</v>
      </c>
      <c r="E9" s="1">
        <v>17.8</v>
      </c>
      <c r="F9" s="14" t="s">
        <v>51</v>
      </c>
      <c r="G9" s="22" t="s">
        <v>71</v>
      </c>
      <c r="H9" s="8" t="s">
        <v>63</v>
      </c>
      <c r="I9" s="8">
        <v>2200</v>
      </c>
      <c r="J9" s="258" t="s">
        <v>1134</v>
      </c>
      <c r="K9" s="8"/>
      <c r="L9" s="8" t="s">
        <v>76</v>
      </c>
      <c r="M9" s="71"/>
      <c r="N9" s="71"/>
      <c r="O9" s="38"/>
      <c r="P9" s="63"/>
      <c r="Q9" s="38"/>
      <c r="R9" s="38"/>
      <c r="S9" s="39"/>
      <c r="T9" s="37"/>
      <c r="U9" s="17"/>
    </row>
    <row r="10" spans="1:21" s="12" customFormat="1" ht="14.25" customHeight="1" thickBot="1">
      <c r="A10" s="75">
        <v>211</v>
      </c>
      <c r="B10" s="9" t="s">
        <v>13</v>
      </c>
      <c r="C10" s="93" t="s">
        <v>20</v>
      </c>
      <c r="D10" s="4" t="s">
        <v>29</v>
      </c>
      <c r="E10" s="2">
        <v>9.6999999999999993</v>
      </c>
      <c r="F10" s="14" t="s">
        <v>51</v>
      </c>
      <c r="G10" s="22" t="s">
        <v>71</v>
      </c>
      <c r="H10" s="8" t="s">
        <v>63</v>
      </c>
      <c r="I10" s="8">
        <v>2200</v>
      </c>
      <c r="J10" s="258" t="s">
        <v>1134</v>
      </c>
      <c r="K10" s="8"/>
      <c r="L10" s="8" t="s">
        <v>76</v>
      </c>
      <c r="M10" s="71"/>
      <c r="N10" s="71"/>
      <c r="O10" s="38"/>
      <c r="P10" s="63"/>
      <c r="Q10" s="38"/>
      <c r="R10" s="38"/>
      <c r="S10" s="39"/>
      <c r="T10" s="37"/>
      <c r="U10" s="17"/>
    </row>
    <row r="11" spans="1:21" s="12" customFormat="1" ht="16.2" customHeight="1" thickBot="1">
      <c r="A11" s="75">
        <v>211</v>
      </c>
      <c r="B11" s="9" t="s">
        <v>13</v>
      </c>
      <c r="C11" s="93" t="s">
        <v>21</v>
      </c>
      <c r="D11" s="4" t="s">
        <v>30</v>
      </c>
      <c r="E11" s="2">
        <v>10.1</v>
      </c>
      <c r="F11" s="14" t="s">
        <v>52</v>
      </c>
      <c r="G11" s="22" t="s">
        <v>71</v>
      </c>
      <c r="H11" s="8" t="s">
        <v>63</v>
      </c>
      <c r="I11" s="8">
        <v>2200</v>
      </c>
      <c r="J11" s="258" t="s">
        <v>1134</v>
      </c>
      <c r="K11" s="8"/>
      <c r="L11" s="8" t="s">
        <v>76</v>
      </c>
      <c r="M11" s="71"/>
      <c r="N11" s="71"/>
      <c r="O11" s="38"/>
      <c r="P11" s="63"/>
      <c r="Q11" s="38"/>
      <c r="R11" s="38"/>
      <c r="S11" s="39"/>
      <c r="T11" s="37"/>
      <c r="U11" s="17"/>
    </row>
    <row r="12" spans="1:21" s="12" customFormat="1" ht="14.25" customHeight="1" thickBot="1">
      <c r="A12" s="75">
        <v>211</v>
      </c>
      <c r="B12" s="9" t="s">
        <v>13</v>
      </c>
      <c r="C12" s="93" t="s">
        <v>22</v>
      </c>
      <c r="D12" s="4" t="s">
        <v>31</v>
      </c>
      <c r="E12" s="2">
        <v>10.5</v>
      </c>
      <c r="F12" s="14" t="s">
        <v>55</v>
      </c>
      <c r="G12" s="22" t="s">
        <v>71</v>
      </c>
      <c r="H12" s="8" t="s">
        <v>64</v>
      </c>
      <c r="I12" s="8">
        <v>2200</v>
      </c>
      <c r="J12" s="258" t="s">
        <v>1132</v>
      </c>
      <c r="K12" s="8"/>
      <c r="L12" s="8" t="s">
        <v>76</v>
      </c>
      <c r="M12" s="71"/>
      <c r="N12" s="71"/>
      <c r="O12" s="38"/>
      <c r="P12" s="63"/>
      <c r="Q12" s="38"/>
      <c r="R12" s="38"/>
      <c r="S12" s="39"/>
      <c r="T12" s="37"/>
      <c r="U12" s="17"/>
    </row>
    <row r="13" spans="1:21" s="12" customFormat="1" ht="14.25" customHeight="1" thickBot="1">
      <c r="A13" s="75">
        <v>211</v>
      </c>
      <c r="B13" s="9" t="s">
        <v>13</v>
      </c>
      <c r="C13" s="93" t="s">
        <v>23</v>
      </c>
      <c r="D13" s="4" t="s">
        <v>32</v>
      </c>
      <c r="E13" s="2">
        <v>22.7</v>
      </c>
      <c r="F13" s="14" t="s">
        <v>55</v>
      </c>
      <c r="G13" s="22" t="s">
        <v>71</v>
      </c>
      <c r="H13" s="8" t="s">
        <v>62</v>
      </c>
      <c r="I13" s="8" t="s">
        <v>38</v>
      </c>
      <c r="J13" s="258" t="s">
        <v>1132</v>
      </c>
      <c r="K13" s="8"/>
      <c r="L13" s="8" t="s">
        <v>76</v>
      </c>
      <c r="M13" s="71"/>
      <c r="N13" s="71"/>
      <c r="O13" s="38"/>
      <c r="P13" s="63"/>
      <c r="Q13" s="38"/>
      <c r="R13" s="38"/>
      <c r="S13" s="39"/>
      <c r="T13" s="37"/>
      <c r="U13" s="17"/>
    </row>
    <row r="14" spans="1:21" s="12" customFormat="1" ht="14.25" customHeight="1" thickBot="1">
      <c r="A14" s="75">
        <v>211</v>
      </c>
      <c r="B14" s="9" t="s">
        <v>13</v>
      </c>
      <c r="C14" s="93" t="s">
        <v>36</v>
      </c>
      <c r="D14" s="4" t="s">
        <v>33</v>
      </c>
      <c r="E14" s="2">
        <v>18.8</v>
      </c>
      <c r="F14" s="14" t="s">
        <v>57</v>
      </c>
      <c r="G14" s="22" t="s">
        <v>71</v>
      </c>
      <c r="H14" s="8" t="s">
        <v>62</v>
      </c>
      <c r="I14" s="8" t="s">
        <v>38</v>
      </c>
      <c r="J14" s="258" t="s">
        <v>1132</v>
      </c>
      <c r="K14" s="8"/>
      <c r="L14" s="8" t="s">
        <v>76</v>
      </c>
      <c r="M14" s="71"/>
      <c r="N14" s="71"/>
      <c r="O14" s="38"/>
      <c r="P14" s="63"/>
      <c r="Q14" s="38"/>
      <c r="R14" s="38"/>
      <c r="S14" s="39"/>
      <c r="T14" s="37"/>
      <c r="U14" s="17"/>
    </row>
    <row r="15" spans="1:21" s="12" customFormat="1" ht="14.25" customHeight="1" thickBot="1">
      <c r="A15" s="75">
        <v>211</v>
      </c>
      <c r="B15" s="9" t="s">
        <v>13</v>
      </c>
      <c r="C15" s="93" t="s">
        <v>37</v>
      </c>
      <c r="D15" s="4" t="s">
        <v>47</v>
      </c>
      <c r="E15" s="1">
        <v>14.3</v>
      </c>
      <c r="F15" s="14" t="s">
        <v>58</v>
      </c>
      <c r="G15" s="8" t="s">
        <v>61</v>
      </c>
      <c r="H15" s="53" t="s">
        <v>65</v>
      </c>
      <c r="I15" s="8">
        <v>2800</v>
      </c>
      <c r="J15" s="258" t="s">
        <v>38</v>
      </c>
      <c r="K15" s="8"/>
      <c r="L15" s="8" t="s">
        <v>76</v>
      </c>
      <c r="M15" s="71"/>
      <c r="N15" s="71"/>
      <c r="O15" s="38"/>
      <c r="P15" s="63"/>
      <c r="Q15" s="38"/>
      <c r="R15" s="38"/>
      <c r="S15" s="39"/>
      <c r="T15" s="37"/>
      <c r="U15" s="17"/>
    </row>
    <row r="16" spans="1:21" s="12" customFormat="1" ht="14.25" customHeight="1" thickBot="1">
      <c r="A16" s="75">
        <v>211</v>
      </c>
      <c r="B16" s="9" t="s">
        <v>13</v>
      </c>
      <c r="C16" s="93" t="s">
        <v>82</v>
      </c>
      <c r="D16" s="244" t="s">
        <v>86</v>
      </c>
      <c r="E16" s="1">
        <v>3.6</v>
      </c>
      <c r="F16" s="14" t="s">
        <v>83</v>
      </c>
      <c r="G16" s="8" t="s">
        <v>61</v>
      </c>
      <c r="H16" s="53" t="s">
        <v>84</v>
      </c>
      <c r="I16" s="8">
        <v>2800</v>
      </c>
      <c r="J16" s="258" t="s">
        <v>38</v>
      </c>
      <c r="K16" s="8"/>
      <c r="L16" s="8" t="s">
        <v>38</v>
      </c>
      <c r="M16" s="71"/>
      <c r="N16" s="71"/>
      <c r="O16" s="38"/>
      <c r="P16" s="63"/>
      <c r="Q16" s="38"/>
      <c r="R16" s="38"/>
      <c r="S16" s="39"/>
      <c r="T16" s="37"/>
      <c r="U16" s="17"/>
    </row>
    <row r="17" spans="1:21" s="12" customFormat="1" ht="14.25" customHeight="1" thickBot="1">
      <c r="A17" s="75">
        <v>211</v>
      </c>
      <c r="B17" s="9" t="s">
        <v>13</v>
      </c>
      <c r="C17" s="93" t="s">
        <v>85</v>
      </c>
      <c r="D17" s="4" t="s">
        <v>87</v>
      </c>
      <c r="E17" s="2">
        <v>9.1</v>
      </c>
      <c r="F17" s="14" t="s">
        <v>83</v>
      </c>
      <c r="G17" s="8" t="s">
        <v>61</v>
      </c>
      <c r="H17" s="8" t="s">
        <v>66</v>
      </c>
      <c r="I17" s="8">
        <v>3000</v>
      </c>
      <c r="J17" s="258" t="s">
        <v>1135</v>
      </c>
      <c r="K17" s="8"/>
      <c r="L17" s="8" t="s">
        <v>38</v>
      </c>
      <c r="M17" s="71"/>
      <c r="N17" s="71"/>
      <c r="O17" s="38"/>
      <c r="P17" s="63"/>
      <c r="Q17" s="38"/>
      <c r="R17" s="38"/>
      <c r="S17" s="39"/>
      <c r="T17" s="37"/>
      <c r="U17" s="17"/>
    </row>
    <row r="18" spans="1:21" s="12" customFormat="1" ht="14.25" customHeight="1" thickBot="1">
      <c r="A18" s="75">
        <v>211</v>
      </c>
      <c r="B18" s="9" t="s">
        <v>13</v>
      </c>
      <c r="C18" s="93" t="s">
        <v>89</v>
      </c>
      <c r="D18" s="4" t="s">
        <v>88</v>
      </c>
      <c r="E18" s="2">
        <v>3.6</v>
      </c>
      <c r="F18" s="14" t="s">
        <v>83</v>
      </c>
      <c r="G18" s="8" t="s">
        <v>61</v>
      </c>
      <c r="H18" s="8" t="s">
        <v>66</v>
      </c>
      <c r="I18" s="8">
        <v>2800</v>
      </c>
      <c r="J18" s="258" t="s">
        <v>1135</v>
      </c>
      <c r="K18" s="8"/>
      <c r="L18" s="8" t="s">
        <v>38</v>
      </c>
      <c r="M18" s="71"/>
      <c r="N18" s="71"/>
      <c r="O18" s="38"/>
      <c r="P18" s="63"/>
      <c r="Q18" s="38"/>
      <c r="R18" s="38"/>
      <c r="S18" s="39"/>
      <c r="T18" s="37"/>
      <c r="U18" s="17"/>
    </row>
    <row r="19" spans="1:21" s="12" customFormat="1" ht="14.25" customHeight="1" thickBot="1">
      <c r="A19" s="75">
        <v>211</v>
      </c>
      <c r="B19" s="9" t="s">
        <v>13</v>
      </c>
      <c r="C19" s="93" t="s">
        <v>91</v>
      </c>
      <c r="D19" s="4" t="s">
        <v>94</v>
      </c>
      <c r="E19" s="2">
        <v>122.1</v>
      </c>
      <c r="F19" s="14" t="s">
        <v>90</v>
      </c>
      <c r="G19" s="8" t="s">
        <v>96</v>
      </c>
      <c r="H19" s="8" t="s">
        <v>104</v>
      </c>
      <c r="I19" s="8" t="s">
        <v>38</v>
      </c>
      <c r="J19" s="258" t="s">
        <v>38</v>
      </c>
      <c r="K19" s="8" t="s">
        <v>38</v>
      </c>
      <c r="L19" s="8" t="s">
        <v>38</v>
      </c>
      <c r="M19" s="71"/>
      <c r="N19" s="71"/>
      <c r="O19" s="38"/>
      <c r="P19" s="63"/>
      <c r="Q19" s="38"/>
      <c r="R19" s="38"/>
      <c r="S19" s="39"/>
      <c r="T19" s="37"/>
      <c r="U19" s="17"/>
    </row>
    <row r="20" spans="1:21" s="12" customFormat="1" ht="13.5" customHeight="1" thickBot="1">
      <c r="A20" s="75">
        <v>211</v>
      </c>
      <c r="B20" s="9" t="s">
        <v>13</v>
      </c>
      <c r="C20" s="93" t="s">
        <v>95</v>
      </c>
      <c r="D20" s="4" t="s">
        <v>92</v>
      </c>
      <c r="E20" s="2">
        <v>182.1</v>
      </c>
      <c r="F20" s="14" t="s">
        <v>90</v>
      </c>
      <c r="G20" s="8" t="s">
        <v>97</v>
      </c>
      <c r="H20" s="8" t="s">
        <v>105</v>
      </c>
      <c r="I20" s="8" t="s">
        <v>76</v>
      </c>
      <c r="J20" s="258" t="s">
        <v>38</v>
      </c>
      <c r="K20" s="8" t="s">
        <v>38</v>
      </c>
      <c r="L20" s="8"/>
      <c r="M20" s="71"/>
      <c r="N20" s="71"/>
      <c r="O20" s="38"/>
      <c r="P20" s="38"/>
      <c r="Q20" s="38"/>
      <c r="R20" s="38"/>
      <c r="S20" s="39"/>
      <c r="T20" s="37"/>
      <c r="U20" s="17"/>
    </row>
    <row r="21" spans="1:21" s="12" customFormat="1" ht="14.25" customHeight="1" thickBot="1">
      <c r="A21" s="75">
        <v>211</v>
      </c>
      <c r="B21" s="9" t="s">
        <v>13</v>
      </c>
      <c r="C21" s="93" t="s">
        <v>98</v>
      </c>
      <c r="D21" s="4" t="s">
        <v>99</v>
      </c>
      <c r="E21" s="2">
        <v>162.19999999999999</v>
      </c>
      <c r="F21" s="14" t="s">
        <v>100</v>
      </c>
      <c r="G21" s="8" t="s">
        <v>101</v>
      </c>
      <c r="H21" s="8" t="s">
        <v>102</v>
      </c>
      <c r="I21" s="8" t="s">
        <v>38</v>
      </c>
      <c r="J21" s="258" t="s">
        <v>103</v>
      </c>
      <c r="K21" s="8"/>
      <c r="L21" s="8"/>
      <c r="M21" s="71"/>
      <c r="N21" s="71"/>
      <c r="O21" s="38"/>
      <c r="P21" s="38"/>
      <c r="Q21" s="38"/>
      <c r="R21" s="38"/>
      <c r="S21" s="39"/>
      <c r="T21" s="37"/>
      <c r="U21" s="17"/>
    </row>
    <row r="22" spans="1:21" s="12" customFormat="1" ht="14.25" customHeight="1" thickBot="1">
      <c r="A22" s="75">
        <v>211</v>
      </c>
      <c r="B22" s="9" t="s">
        <v>13</v>
      </c>
      <c r="C22" s="93" t="s">
        <v>107</v>
      </c>
      <c r="D22" s="4" t="s">
        <v>108</v>
      </c>
      <c r="E22" s="2">
        <v>28.6</v>
      </c>
      <c r="F22" s="14" t="s">
        <v>109</v>
      </c>
      <c r="G22" s="8" t="s">
        <v>113</v>
      </c>
      <c r="H22" s="8" t="s">
        <v>102</v>
      </c>
      <c r="I22" s="8" t="s">
        <v>38</v>
      </c>
      <c r="J22" s="258" t="s">
        <v>103</v>
      </c>
      <c r="K22" s="8"/>
      <c r="L22" s="8"/>
      <c r="M22" s="71"/>
      <c r="N22" s="71"/>
      <c r="O22" s="38"/>
      <c r="P22" s="38"/>
      <c r="Q22" s="38"/>
      <c r="R22" s="38"/>
      <c r="S22" s="39"/>
      <c r="T22" s="37"/>
      <c r="U22" s="17"/>
    </row>
    <row r="23" spans="1:21" s="12" customFormat="1" ht="14.25" customHeight="1" thickBot="1">
      <c r="A23" s="75">
        <v>211</v>
      </c>
      <c r="B23" s="9" t="s">
        <v>13</v>
      </c>
      <c r="C23" s="93" t="s">
        <v>110</v>
      </c>
      <c r="D23" s="4" t="s">
        <v>111</v>
      </c>
      <c r="E23" s="2">
        <v>65</v>
      </c>
      <c r="F23" s="14" t="s">
        <v>112</v>
      </c>
      <c r="G23" s="8" t="s">
        <v>118</v>
      </c>
      <c r="H23" s="8" t="s">
        <v>102</v>
      </c>
      <c r="I23" s="8" t="s">
        <v>38</v>
      </c>
      <c r="J23" s="258" t="s">
        <v>132</v>
      </c>
      <c r="K23" s="8"/>
      <c r="L23" s="8"/>
      <c r="M23" s="71"/>
      <c r="N23" s="71"/>
      <c r="O23" s="38"/>
      <c r="P23" s="38"/>
      <c r="Q23" s="38"/>
      <c r="R23" s="38"/>
      <c r="S23" s="39"/>
      <c r="T23" s="37"/>
      <c r="U23" s="17"/>
    </row>
    <row r="24" spans="1:21" s="12" customFormat="1" ht="14.25" customHeight="1" thickBot="1">
      <c r="A24" s="75">
        <v>211</v>
      </c>
      <c r="B24" s="9" t="s">
        <v>13</v>
      </c>
      <c r="C24" s="93" t="s">
        <v>114</v>
      </c>
      <c r="D24" s="4" t="s">
        <v>115</v>
      </c>
      <c r="E24" s="2">
        <v>16.5</v>
      </c>
      <c r="F24" s="14" t="s">
        <v>112</v>
      </c>
      <c r="G24" s="8" t="s">
        <v>119</v>
      </c>
      <c r="H24" s="8" t="s">
        <v>102</v>
      </c>
      <c r="I24" s="8" t="s">
        <v>38</v>
      </c>
      <c r="J24" s="258" t="s">
        <v>103</v>
      </c>
      <c r="K24" s="8"/>
      <c r="L24" s="8"/>
      <c r="M24" s="71"/>
      <c r="N24" s="71"/>
      <c r="O24" s="38"/>
      <c r="P24" s="38"/>
      <c r="Q24" s="38"/>
      <c r="R24" s="38"/>
      <c r="S24" s="39"/>
      <c r="T24" s="37"/>
      <c r="U24" s="17"/>
    </row>
    <row r="25" spans="1:21" s="12" customFormat="1" ht="14.25" customHeight="1" thickBot="1">
      <c r="A25" s="75">
        <v>211</v>
      </c>
      <c r="B25" s="9" t="s">
        <v>13</v>
      </c>
      <c r="C25" s="93" t="s">
        <v>116</v>
      </c>
      <c r="D25" s="4" t="s">
        <v>117</v>
      </c>
      <c r="E25" s="2">
        <v>44.9</v>
      </c>
      <c r="F25" s="14" t="s">
        <v>100</v>
      </c>
      <c r="G25" s="8" t="s">
        <v>118</v>
      </c>
      <c r="H25" s="8" t="s">
        <v>102</v>
      </c>
      <c r="I25" s="8" t="s">
        <v>38</v>
      </c>
      <c r="J25" s="258" t="s">
        <v>38</v>
      </c>
      <c r="K25" s="8"/>
      <c r="L25" s="8"/>
      <c r="M25" s="71"/>
      <c r="N25" s="71"/>
      <c r="O25" s="38"/>
      <c r="P25" s="38"/>
      <c r="Q25" s="38"/>
      <c r="R25" s="38"/>
      <c r="S25" s="39"/>
      <c r="T25" s="37"/>
      <c r="U25" s="17"/>
    </row>
    <row r="26" spans="1:21" s="12" customFormat="1" ht="14.25" customHeight="1" thickBot="1">
      <c r="A26" s="75">
        <v>211</v>
      </c>
      <c r="B26" s="9" t="s">
        <v>13</v>
      </c>
      <c r="C26" s="93" t="s">
        <v>120</v>
      </c>
      <c r="D26" s="4" t="s">
        <v>121</v>
      </c>
      <c r="E26" s="2">
        <v>6.4</v>
      </c>
      <c r="F26" s="14" t="s">
        <v>106</v>
      </c>
      <c r="G26" s="8" t="s">
        <v>106</v>
      </c>
      <c r="H26" s="8" t="s">
        <v>122</v>
      </c>
      <c r="I26" s="8" t="s">
        <v>38</v>
      </c>
      <c r="J26" s="258" t="s">
        <v>103</v>
      </c>
      <c r="K26" s="8"/>
      <c r="L26" s="8"/>
      <c r="M26" s="71"/>
      <c r="N26" s="71"/>
      <c r="O26" s="38"/>
      <c r="P26" s="38"/>
      <c r="Q26" s="38"/>
      <c r="R26" s="38"/>
      <c r="S26" s="39"/>
      <c r="T26" s="37"/>
      <c r="U26" s="17"/>
    </row>
    <row r="27" spans="1:21" s="12" customFormat="1" ht="14.25" customHeight="1" thickBot="1">
      <c r="A27" s="75">
        <v>211</v>
      </c>
      <c r="B27" s="9" t="s">
        <v>13</v>
      </c>
      <c r="C27" s="93" t="s">
        <v>123</v>
      </c>
      <c r="D27" s="4" t="s">
        <v>99</v>
      </c>
      <c r="E27" s="2">
        <v>36</v>
      </c>
      <c r="F27" s="14" t="s">
        <v>126</v>
      </c>
      <c r="G27" s="8" t="s">
        <v>101</v>
      </c>
      <c r="H27" s="8" t="s">
        <v>102</v>
      </c>
      <c r="I27" s="8" t="s">
        <v>38</v>
      </c>
      <c r="J27" s="258" t="s">
        <v>103</v>
      </c>
      <c r="K27" s="8"/>
      <c r="L27" s="8"/>
      <c r="M27" s="71"/>
      <c r="N27" s="71"/>
      <c r="O27" s="38"/>
      <c r="P27" s="38"/>
      <c r="Q27" s="38"/>
      <c r="R27" s="38"/>
      <c r="S27" s="39"/>
      <c r="T27" s="37"/>
      <c r="U27" s="17"/>
    </row>
    <row r="28" spans="1:21" s="12" customFormat="1" ht="17.399999999999999" customHeight="1" thickBot="1">
      <c r="A28" s="75">
        <v>211</v>
      </c>
      <c r="B28" s="9" t="s">
        <v>13</v>
      </c>
      <c r="C28" s="93" t="s">
        <v>124</v>
      </c>
      <c r="D28" s="4" t="s">
        <v>125</v>
      </c>
      <c r="E28" s="2">
        <v>13.7</v>
      </c>
      <c r="F28" s="14" t="s">
        <v>126</v>
      </c>
      <c r="G28" s="8" t="s">
        <v>101</v>
      </c>
      <c r="H28" s="8" t="s">
        <v>102</v>
      </c>
      <c r="I28" s="8" t="s">
        <v>38</v>
      </c>
      <c r="J28" s="258" t="s">
        <v>103</v>
      </c>
      <c r="K28" s="8"/>
      <c r="L28" s="8"/>
      <c r="M28" s="71"/>
      <c r="N28" s="71"/>
      <c r="O28" s="38"/>
      <c r="P28" s="38"/>
      <c r="Q28" s="38"/>
      <c r="R28" s="38"/>
      <c r="S28" s="39"/>
      <c r="T28" s="37"/>
      <c r="U28" s="17"/>
    </row>
    <row r="29" spans="1:21" s="12" customFormat="1" ht="18" customHeight="1" thickBot="1">
      <c r="A29" s="75">
        <v>211</v>
      </c>
      <c r="B29" s="9" t="s">
        <v>13</v>
      </c>
      <c r="C29" s="93" t="s">
        <v>127</v>
      </c>
      <c r="D29" s="4" t="s">
        <v>128</v>
      </c>
      <c r="E29" s="2">
        <v>388.8</v>
      </c>
      <c r="F29" s="14" t="s">
        <v>100</v>
      </c>
      <c r="G29" s="8" t="s">
        <v>129</v>
      </c>
      <c r="H29" s="8" t="s">
        <v>102</v>
      </c>
      <c r="I29" s="8" t="s">
        <v>38</v>
      </c>
      <c r="J29" s="258" t="s">
        <v>103</v>
      </c>
      <c r="K29" s="8"/>
      <c r="L29" s="8"/>
      <c r="M29" s="71"/>
      <c r="N29" s="71"/>
      <c r="O29" s="38"/>
      <c r="P29" s="38"/>
      <c r="Q29" s="38"/>
      <c r="R29" s="38"/>
      <c r="S29" s="39"/>
      <c r="T29" s="37"/>
      <c r="U29" s="17"/>
    </row>
    <row r="30" spans="1:21" s="12" customFormat="1" ht="14.25" customHeight="1" thickBot="1">
      <c r="A30" s="75">
        <v>211</v>
      </c>
      <c r="B30" s="9" t="s">
        <v>13</v>
      </c>
      <c r="C30" s="93" t="s">
        <v>130</v>
      </c>
      <c r="D30" s="4" t="s">
        <v>131</v>
      </c>
      <c r="E30" s="1">
        <v>105.3</v>
      </c>
      <c r="F30" s="14" t="s">
        <v>100</v>
      </c>
      <c r="G30" s="8" t="s">
        <v>129</v>
      </c>
      <c r="H30" s="8" t="s">
        <v>102</v>
      </c>
      <c r="I30" s="8" t="s">
        <v>38</v>
      </c>
      <c r="J30" s="258" t="s">
        <v>103</v>
      </c>
      <c r="K30" s="72"/>
      <c r="L30" s="72"/>
      <c r="M30" s="72"/>
      <c r="N30" s="72"/>
      <c r="O30" s="38"/>
      <c r="P30" s="38"/>
      <c r="Q30" s="38"/>
      <c r="R30" s="38"/>
      <c r="S30" s="39"/>
      <c r="T30" s="37"/>
      <c r="U30" s="17"/>
    </row>
    <row r="31" spans="1:21" s="191" customFormat="1" ht="14.25" customHeight="1" thickBot="1">
      <c r="A31" s="179">
        <v>211</v>
      </c>
      <c r="B31" s="180" t="s">
        <v>13</v>
      </c>
      <c r="C31" s="181"/>
      <c r="D31" s="245" t="s">
        <v>935</v>
      </c>
      <c r="E31" s="183">
        <v>2042.9</v>
      </c>
      <c r="F31" s="192"/>
      <c r="G31" s="192"/>
      <c r="H31" s="192"/>
      <c r="I31" s="192"/>
      <c r="J31" s="182"/>
      <c r="K31" s="195"/>
      <c r="L31" s="195"/>
      <c r="M31" s="195"/>
      <c r="N31" s="195"/>
      <c r="O31" s="187"/>
      <c r="P31" s="187"/>
      <c r="Q31" s="187"/>
      <c r="R31" s="187"/>
      <c r="S31" s="188"/>
      <c r="T31" s="189"/>
      <c r="U31" s="190"/>
    </row>
    <row r="32" spans="1:21" s="12" customFormat="1" ht="14.25" customHeight="1" thickBot="1">
      <c r="A32" s="75">
        <v>211</v>
      </c>
      <c r="B32" s="9" t="s">
        <v>133</v>
      </c>
      <c r="C32" s="93" t="s">
        <v>134</v>
      </c>
      <c r="D32" s="244" t="s">
        <v>144</v>
      </c>
      <c r="E32" s="2">
        <v>17.2</v>
      </c>
      <c r="F32" s="14" t="s">
        <v>145</v>
      </c>
      <c r="G32" s="8" t="s">
        <v>146</v>
      </c>
      <c r="H32" s="8" t="s">
        <v>174</v>
      </c>
      <c r="I32" s="8" t="s">
        <v>181</v>
      </c>
      <c r="J32" s="258" t="s">
        <v>188</v>
      </c>
      <c r="K32" s="72"/>
      <c r="L32" s="72"/>
      <c r="M32" s="72"/>
      <c r="N32" s="72"/>
      <c r="O32" s="38"/>
      <c r="P32" s="38"/>
      <c r="Q32" s="38"/>
      <c r="R32" s="38"/>
      <c r="S32" s="39"/>
      <c r="T32" s="37"/>
      <c r="U32" s="17"/>
    </row>
    <row r="33" spans="1:21" s="12" customFormat="1" ht="14.25" customHeight="1" thickBot="1">
      <c r="A33" s="75">
        <v>211</v>
      </c>
      <c r="B33" s="9" t="s">
        <v>133</v>
      </c>
      <c r="C33" s="93" t="s">
        <v>135</v>
      </c>
      <c r="D33" s="4" t="s">
        <v>147</v>
      </c>
      <c r="E33" s="2">
        <v>10.8</v>
      </c>
      <c r="F33" s="14" t="s">
        <v>156</v>
      </c>
      <c r="G33" s="8" t="s">
        <v>175</v>
      </c>
      <c r="H33" s="8" t="s">
        <v>66</v>
      </c>
      <c r="I33" s="8">
        <v>2800</v>
      </c>
      <c r="J33" s="258" t="s">
        <v>190</v>
      </c>
      <c r="K33" s="72"/>
      <c r="L33" s="72"/>
      <c r="M33" s="72"/>
      <c r="N33" s="72"/>
      <c r="O33" s="38"/>
      <c r="P33" s="38"/>
      <c r="Q33" s="38"/>
      <c r="R33" s="38"/>
      <c r="S33" s="39"/>
      <c r="T33" s="37"/>
      <c r="U33" s="17"/>
    </row>
    <row r="34" spans="1:21" s="12" customFormat="1" ht="14.25" customHeight="1" thickBot="1">
      <c r="A34" s="75">
        <v>211</v>
      </c>
      <c r="B34" s="9" t="s">
        <v>133</v>
      </c>
      <c r="C34" s="93" t="s">
        <v>136</v>
      </c>
      <c r="D34" s="4" t="s">
        <v>148</v>
      </c>
      <c r="E34" s="1">
        <v>6.4</v>
      </c>
      <c r="F34" s="14" t="s">
        <v>157</v>
      </c>
      <c r="G34" s="8" t="s">
        <v>175</v>
      </c>
      <c r="H34" s="8" t="s">
        <v>65</v>
      </c>
      <c r="I34" s="8">
        <v>2800</v>
      </c>
      <c r="J34" s="258" t="s">
        <v>38</v>
      </c>
      <c r="K34" s="72"/>
      <c r="L34" s="72"/>
      <c r="M34" s="72"/>
      <c r="N34" s="72"/>
      <c r="O34" s="38"/>
      <c r="P34" s="38"/>
      <c r="Q34" s="38"/>
      <c r="R34" s="38"/>
      <c r="S34" s="39"/>
      <c r="T34" s="37"/>
      <c r="U34" s="17"/>
    </row>
    <row r="35" spans="1:21" s="12" customFormat="1" ht="14.25" customHeight="1" thickBot="1">
      <c r="A35" s="75">
        <v>211</v>
      </c>
      <c r="B35" s="9" t="s">
        <v>133</v>
      </c>
      <c r="C35" s="93" t="s">
        <v>137</v>
      </c>
      <c r="D35" s="4" t="s">
        <v>149</v>
      </c>
      <c r="E35" s="1">
        <v>13.4</v>
      </c>
      <c r="F35" s="14" t="s">
        <v>157</v>
      </c>
      <c r="G35" s="8" t="s">
        <v>175</v>
      </c>
      <c r="H35" s="8" t="s">
        <v>176</v>
      </c>
      <c r="I35" s="8">
        <v>2800</v>
      </c>
      <c r="J35" s="258" t="s">
        <v>38</v>
      </c>
      <c r="K35" s="72"/>
      <c r="L35" s="72"/>
      <c r="M35" s="72"/>
      <c r="N35" s="72"/>
      <c r="O35" s="38"/>
      <c r="P35" s="38"/>
      <c r="Q35" s="38"/>
      <c r="R35" s="38"/>
      <c r="S35" s="39"/>
      <c r="T35" s="37"/>
      <c r="U35" s="17"/>
    </row>
    <row r="36" spans="1:21" s="12" customFormat="1" ht="14.25" customHeight="1" thickBot="1">
      <c r="A36" s="75">
        <v>211</v>
      </c>
      <c r="B36" s="9" t="s">
        <v>133</v>
      </c>
      <c r="C36" s="93" t="s">
        <v>138</v>
      </c>
      <c r="D36" s="4" t="s">
        <v>150</v>
      </c>
      <c r="E36" s="2">
        <v>18.600000000000001</v>
      </c>
      <c r="F36" s="14" t="s">
        <v>157</v>
      </c>
      <c r="G36" s="8" t="s">
        <v>175</v>
      </c>
      <c r="H36" s="8" t="s">
        <v>65</v>
      </c>
      <c r="I36" s="8">
        <v>2800</v>
      </c>
      <c r="J36" s="258" t="s">
        <v>38</v>
      </c>
      <c r="K36" s="72"/>
      <c r="L36" s="72"/>
      <c r="M36" s="72"/>
      <c r="N36" s="72"/>
      <c r="O36" s="38"/>
      <c r="P36" s="38"/>
      <c r="Q36" s="38"/>
      <c r="R36" s="38"/>
      <c r="S36" s="39"/>
      <c r="T36" s="37"/>
      <c r="U36" s="17"/>
    </row>
    <row r="37" spans="1:21" s="12" customFormat="1" ht="14.25" customHeight="1" thickBot="1">
      <c r="A37" s="75">
        <v>211</v>
      </c>
      <c r="B37" s="9" t="s">
        <v>133</v>
      </c>
      <c r="C37" s="93" t="s">
        <v>139</v>
      </c>
      <c r="D37" s="4" t="s">
        <v>151</v>
      </c>
      <c r="E37" s="1">
        <v>17.2</v>
      </c>
      <c r="F37" s="14" t="s">
        <v>157</v>
      </c>
      <c r="G37" s="8" t="s">
        <v>175</v>
      </c>
      <c r="H37" s="8" t="s">
        <v>65</v>
      </c>
      <c r="I37" s="8">
        <v>2800</v>
      </c>
      <c r="J37" s="258" t="s">
        <v>38</v>
      </c>
      <c r="K37" s="72"/>
      <c r="L37" s="72"/>
      <c r="M37" s="72"/>
      <c r="N37" s="72"/>
      <c r="O37" s="38"/>
      <c r="P37" s="38"/>
      <c r="Q37" s="38"/>
      <c r="R37" s="38"/>
      <c r="S37" s="39"/>
      <c r="T37" s="37"/>
      <c r="U37" s="17"/>
    </row>
    <row r="38" spans="1:21" s="12" customFormat="1" ht="14.25" customHeight="1" thickBot="1">
      <c r="A38" s="75">
        <v>211</v>
      </c>
      <c r="B38" s="9" t="s">
        <v>133</v>
      </c>
      <c r="C38" s="93" t="s">
        <v>140</v>
      </c>
      <c r="D38" s="4" t="s">
        <v>152</v>
      </c>
      <c r="E38" s="1">
        <v>335</v>
      </c>
      <c r="F38" s="14" t="s">
        <v>158</v>
      </c>
      <c r="G38" s="8" t="s">
        <v>173</v>
      </c>
      <c r="H38" s="8" t="s">
        <v>177</v>
      </c>
      <c r="I38" s="8">
        <v>3700</v>
      </c>
      <c r="J38" s="258" t="s">
        <v>1135</v>
      </c>
      <c r="K38" s="72"/>
      <c r="L38" s="72"/>
      <c r="M38" s="72"/>
      <c r="N38" s="72"/>
      <c r="O38" s="38"/>
      <c r="P38" s="38"/>
      <c r="Q38" s="38"/>
      <c r="R38" s="38"/>
      <c r="S38" s="39"/>
      <c r="T38" s="37"/>
      <c r="U38" s="17"/>
    </row>
    <row r="39" spans="1:21" s="12" customFormat="1" ht="14.25" customHeight="1" thickBot="1">
      <c r="A39" s="75">
        <v>211</v>
      </c>
      <c r="B39" s="9" t="s">
        <v>133</v>
      </c>
      <c r="C39" s="93" t="s">
        <v>141</v>
      </c>
      <c r="D39" s="4" t="s">
        <v>153</v>
      </c>
      <c r="E39" s="1">
        <v>5.3</v>
      </c>
      <c r="F39" s="14" t="s">
        <v>156</v>
      </c>
      <c r="G39" s="8" t="s">
        <v>173</v>
      </c>
      <c r="H39" s="8" t="s">
        <v>178</v>
      </c>
      <c r="I39" s="8">
        <v>3700</v>
      </c>
      <c r="J39" s="258" t="s">
        <v>1135</v>
      </c>
      <c r="K39" s="72"/>
      <c r="L39" s="72"/>
      <c r="M39" s="72"/>
      <c r="N39" s="72"/>
      <c r="O39" s="38"/>
      <c r="P39" s="38"/>
      <c r="Q39" s="38"/>
      <c r="R39" s="38"/>
      <c r="S39" s="39"/>
      <c r="T39" s="37"/>
      <c r="U39" s="17"/>
    </row>
    <row r="40" spans="1:21" s="12" customFormat="1" ht="14.25" customHeight="1" thickBot="1">
      <c r="A40" s="75">
        <v>211</v>
      </c>
      <c r="B40" s="9" t="s">
        <v>133</v>
      </c>
      <c r="C40" s="93" t="s">
        <v>142</v>
      </c>
      <c r="D40" s="4" t="s">
        <v>154</v>
      </c>
      <c r="E40" s="1">
        <v>722</v>
      </c>
      <c r="F40" s="14" t="s">
        <v>159</v>
      </c>
      <c r="G40" s="8" t="s">
        <v>173</v>
      </c>
      <c r="H40" s="8" t="s">
        <v>178</v>
      </c>
      <c r="I40" s="8">
        <v>3700</v>
      </c>
      <c r="J40" s="258" t="s">
        <v>1135</v>
      </c>
      <c r="K40" s="72"/>
      <c r="L40" s="72"/>
      <c r="M40" s="72"/>
      <c r="N40" s="72"/>
      <c r="O40" s="38"/>
      <c r="P40" s="38"/>
      <c r="Q40" s="38"/>
      <c r="R40" s="38"/>
      <c r="S40" s="39"/>
      <c r="T40" s="37"/>
      <c r="U40" s="17"/>
    </row>
    <row r="41" spans="1:21" s="12" customFormat="1" ht="14.25" customHeight="1" thickBot="1">
      <c r="A41" s="75">
        <v>211</v>
      </c>
      <c r="B41" s="9" t="s">
        <v>133</v>
      </c>
      <c r="C41" s="93" t="s">
        <v>143</v>
      </c>
      <c r="D41" s="4" t="s">
        <v>155</v>
      </c>
      <c r="E41" s="1" t="s">
        <v>179</v>
      </c>
      <c r="F41" s="14" t="s">
        <v>156</v>
      </c>
      <c r="G41" s="8" t="s">
        <v>173</v>
      </c>
      <c r="H41" s="8" t="s">
        <v>178</v>
      </c>
      <c r="I41" s="8">
        <v>3700</v>
      </c>
      <c r="J41" s="258" t="s">
        <v>1135</v>
      </c>
      <c r="K41" s="72"/>
      <c r="L41" s="72"/>
      <c r="M41" s="72"/>
      <c r="N41" s="72"/>
      <c r="O41" s="38"/>
      <c r="P41" s="38"/>
      <c r="Q41" s="38"/>
      <c r="R41" s="38"/>
      <c r="S41" s="39"/>
      <c r="T41" s="37"/>
      <c r="U41" s="17"/>
    </row>
    <row r="42" spans="1:21" s="12" customFormat="1" ht="14.25" customHeight="1" thickBot="1">
      <c r="A42" s="75">
        <v>211</v>
      </c>
      <c r="B42" s="9" t="s">
        <v>133</v>
      </c>
      <c r="C42" s="93" t="s">
        <v>160</v>
      </c>
      <c r="D42" s="4" t="s">
        <v>172</v>
      </c>
      <c r="E42" s="1">
        <v>7.9</v>
      </c>
      <c r="F42" s="14" t="s">
        <v>180</v>
      </c>
      <c r="G42" s="8" t="s">
        <v>179</v>
      </c>
      <c r="H42" s="8" t="s">
        <v>179</v>
      </c>
      <c r="I42" s="8" t="s">
        <v>537</v>
      </c>
      <c r="J42" s="258" t="s">
        <v>38</v>
      </c>
      <c r="K42" s="49"/>
      <c r="L42" s="49"/>
      <c r="M42" s="49"/>
      <c r="N42" s="49"/>
      <c r="O42" s="38"/>
      <c r="P42" s="38"/>
      <c r="Q42" s="38"/>
      <c r="R42" s="38"/>
      <c r="S42" s="39"/>
      <c r="T42" s="37"/>
      <c r="U42" s="17"/>
    </row>
    <row r="43" spans="1:21" s="12" customFormat="1" ht="14.25" customHeight="1" thickBot="1">
      <c r="A43" s="75">
        <v>211</v>
      </c>
      <c r="B43" s="9" t="s">
        <v>133</v>
      </c>
      <c r="C43" s="93" t="s">
        <v>161</v>
      </c>
      <c r="D43" s="4" t="s">
        <v>182</v>
      </c>
      <c r="E43" s="1">
        <v>12.9</v>
      </c>
      <c r="F43" s="14" t="s">
        <v>537</v>
      </c>
      <c r="G43" s="8" t="s">
        <v>537</v>
      </c>
      <c r="H43" s="8" t="s">
        <v>537</v>
      </c>
      <c r="I43" s="8" t="s">
        <v>537</v>
      </c>
      <c r="J43" s="258" t="s">
        <v>38</v>
      </c>
      <c r="K43" s="49"/>
      <c r="L43" s="49"/>
      <c r="M43" s="49"/>
      <c r="N43" s="49"/>
      <c r="O43" s="38"/>
      <c r="P43" s="38"/>
      <c r="Q43" s="38"/>
      <c r="R43" s="38"/>
      <c r="S43" s="39"/>
      <c r="T43" s="37"/>
      <c r="U43" s="17"/>
    </row>
    <row r="44" spans="1:21" s="12" customFormat="1" ht="14.25" customHeight="1" thickBot="1">
      <c r="A44" s="75">
        <v>211</v>
      </c>
      <c r="B44" s="9" t="s">
        <v>133</v>
      </c>
      <c r="C44" s="93" t="s">
        <v>162</v>
      </c>
      <c r="D44" s="4" t="s">
        <v>183</v>
      </c>
      <c r="E44" s="1">
        <v>29.5</v>
      </c>
      <c r="F44" s="14" t="s">
        <v>157</v>
      </c>
      <c r="G44" s="8" t="s">
        <v>184</v>
      </c>
      <c r="H44" s="8" t="s">
        <v>185</v>
      </c>
      <c r="I44" s="8">
        <v>3700</v>
      </c>
      <c r="J44" s="258" t="s">
        <v>186</v>
      </c>
      <c r="K44" s="72"/>
      <c r="L44" s="72"/>
      <c r="M44" s="72"/>
      <c r="N44" s="72"/>
      <c r="O44" s="38"/>
      <c r="P44" s="38"/>
      <c r="Q44" s="38"/>
      <c r="R44" s="38"/>
      <c r="S44" s="39"/>
      <c r="T44" s="37"/>
      <c r="U44" s="17"/>
    </row>
    <row r="45" spans="1:21" s="12" customFormat="1" ht="14.25" customHeight="1" thickBot="1">
      <c r="A45" s="75">
        <v>211</v>
      </c>
      <c r="B45" s="9" t="s">
        <v>133</v>
      </c>
      <c r="C45" s="93" t="s">
        <v>163</v>
      </c>
      <c r="D45" s="4" t="s">
        <v>187</v>
      </c>
      <c r="E45" s="1">
        <v>17.2</v>
      </c>
      <c r="F45" s="14" t="s">
        <v>145</v>
      </c>
      <c r="G45" s="8" t="s">
        <v>184</v>
      </c>
      <c r="H45" s="8" t="s">
        <v>174</v>
      </c>
      <c r="I45" s="8" t="s">
        <v>537</v>
      </c>
      <c r="J45" s="258" t="s">
        <v>188</v>
      </c>
      <c r="K45" s="72"/>
      <c r="L45" s="72"/>
      <c r="M45" s="72"/>
      <c r="N45" s="72"/>
      <c r="O45" s="38"/>
      <c r="P45" s="38"/>
      <c r="Q45" s="38"/>
      <c r="R45" s="38"/>
      <c r="S45" s="39"/>
      <c r="T45" s="37"/>
      <c r="U45" s="17"/>
    </row>
    <row r="46" spans="1:21" s="12" customFormat="1" ht="14.25" customHeight="1" thickBot="1">
      <c r="A46" s="75">
        <v>211</v>
      </c>
      <c r="B46" s="9" t="s">
        <v>133</v>
      </c>
      <c r="C46" s="93" t="s">
        <v>164</v>
      </c>
      <c r="D46" s="4" t="s">
        <v>189</v>
      </c>
      <c r="E46" s="1">
        <v>14.4</v>
      </c>
      <c r="F46" s="14" t="s">
        <v>159</v>
      </c>
      <c r="G46" s="8" t="s">
        <v>173</v>
      </c>
      <c r="H46" s="8" t="s">
        <v>185</v>
      </c>
      <c r="I46" s="8">
        <v>3700</v>
      </c>
      <c r="J46" s="258" t="s">
        <v>190</v>
      </c>
      <c r="K46" s="72"/>
      <c r="L46" s="72"/>
      <c r="M46" s="72"/>
      <c r="N46" s="72"/>
      <c r="O46" s="38"/>
      <c r="P46" s="38"/>
      <c r="Q46" s="38"/>
      <c r="R46" s="38"/>
      <c r="S46" s="39"/>
      <c r="T46" s="37"/>
      <c r="U46" s="17"/>
    </row>
    <row r="47" spans="1:21" s="12" customFormat="1" ht="17.399999999999999" customHeight="1" thickBot="1">
      <c r="A47" s="75">
        <v>211</v>
      </c>
      <c r="B47" s="9" t="s">
        <v>133</v>
      </c>
      <c r="C47" s="93" t="s">
        <v>165</v>
      </c>
      <c r="D47" s="4" t="s">
        <v>191</v>
      </c>
      <c r="E47" s="2">
        <v>21.2</v>
      </c>
      <c r="F47" s="14" t="s">
        <v>156</v>
      </c>
      <c r="G47" s="8" t="s">
        <v>173</v>
      </c>
      <c r="H47" s="8" t="s">
        <v>185</v>
      </c>
      <c r="I47" s="8">
        <v>3700</v>
      </c>
      <c r="J47" s="258" t="s">
        <v>190</v>
      </c>
      <c r="K47" s="72"/>
      <c r="L47" s="72"/>
      <c r="M47" s="72"/>
      <c r="N47" s="72"/>
      <c r="O47" s="38"/>
      <c r="P47" s="38"/>
      <c r="Q47" s="38"/>
      <c r="R47" s="38"/>
      <c r="S47" s="39"/>
      <c r="T47" s="37"/>
      <c r="U47" s="17"/>
    </row>
    <row r="48" spans="1:21" s="12" customFormat="1" ht="14.25" customHeight="1" thickBot="1">
      <c r="A48" s="75">
        <v>211</v>
      </c>
      <c r="B48" s="9" t="s">
        <v>133</v>
      </c>
      <c r="C48" s="93" t="s">
        <v>166</v>
      </c>
      <c r="D48" s="4" t="s">
        <v>191</v>
      </c>
      <c r="E48" s="2">
        <v>21.2</v>
      </c>
      <c r="F48" s="14" t="s">
        <v>156</v>
      </c>
      <c r="G48" s="8" t="s">
        <v>194</v>
      </c>
      <c r="H48" s="8" t="s">
        <v>185</v>
      </c>
      <c r="I48" s="8">
        <v>3700</v>
      </c>
      <c r="J48" s="258" t="s">
        <v>190</v>
      </c>
      <c r="K48" s="72"/>
      <c r="L48" s="72"/>
      <c r="M48" s="72"/>
      <c r="N48" s="72"/>
      <c r="O48" s="38"/>
      <c r="P48" s="38"/>
      <c r="Q48" s="38"/>
      <c r="R48" s="38"/>
      <c r="S48" s="39"/>
      <c r="T48" s="37"/>
      <c r="U48" s="17"/>
    </row>
    <row r="49" spans="1:21" s="12" customFormat="1" ht="14.25" customHeight="1" thickBot="1">
      <c r="A49" s="75">
        <v>211</v>
      </c>
      <c r="B49" s="9" t="s">
        <v>133</v>
      </c>
      <c r="C49" s="93" t="s">
        <v>167</v>
      </c>
      <c r="D49" s="4" t="s">
        <v>192</v>
      </c>
      <c r="E49" s="2">
        <v>9.5</v>
      </c>
      <c r="F49" s="14" t="s">
        <v>193</v>
      </c>
      <c r="G49" s="8" t="s">
        <v>184</v>
      </c>
      <c r="H49" s="8" t="s">
        <v>174</v>
      </c>
      <c r="I49" s="8" t="s">
        <v>537</v>
      </c>
      <c r="J49" s="258" t="s">
        <v>103</v>
      </c>
      <c r="K49" s="72"/>
      <c r="L49" s="72"/>
      <c r="M49" s="72"/>
      <c r="N49" s="72"/>
      <c r="O49" s="38"/>
      <c r="P49" s="38"/>
      <c r="Q49" s="38"/>
      <c r="R49" s="38"/>
      <c r="S49" s="39"/>
      <c r="T49" s="37"/>
      <c r="U49" s="17"/>
    </row>
    <row r="50" spans="1:21" s="12" customFormat="1" ht="14.25" customHeight="1" thickBot="1">
      <c r="A50" s="75">
        <v>211</v>
      </c>
      <c r="B50" s="9" t="s">
        <v>133</v>
      </c>
      <c r="C50" s="93" t="s">
        <v>168</v>
      </c>
      <c r="D50" s="4" t="s">
        <v>196</v>
      </c>
      <c r="E50" s="2">
        <v>25.7</v>
      </c>
      <c r="F50" s="14" t="s">
        <v>198</v>
      </c>
      <c r="G50" s="8" t="s">
        <v>173</v>
      </c>
      <c r="H50" s="8" t="s">
        <v>199</v>
      </c>
      <c r="I50" s="8">
        <v>3700</v>
      </c>
      <c r="J50" s="258" t="s">
        <v>190</v>
      </c>
      <c r="K50" s="72"/>
      <c r="L50" s="72"/>
      <c r="M50" s="72"/>
      <c r="N50" s="72"/>
      <c r="O50" s="38"/>
      <c r="P50" s="38"/>
      <c r="Q50" s="38"/>
      <c r="R50" s="38"/>
      <c r="S50" s="39"/>
      <c r="T50" s="37"/>
      <c r="U50" s="17"/>
    </row>
    <row r="51" spans="1:21" s="12" customFormat="1" ht="14.25" customHeight="1" thickBot="1">
      <c r="A51" s="75">
        <v>211</v>
      </c>
      <c r="B51" s="9" t="s">
        <v>133</v>
      </c>
      <c r="C51" s="93" t="s">
        <v>169</v>
      </c>
      <c r="D51" s="4" t="s">
        <v>197</v>
      </c>
      <c r="E51" s="2">
        <v>25.7</v>
      </c>
      <c r="F51" s="14" t="s">
        <v>159</v>
      </c>
      <c r="G51" s="8" t="s">
        <v>173</v>
      </c>
      <c r="H51" s="8" t="s">
        <v>185</v>
      </c>
      <c r="I51" s="8">
        <v>3700</v>
      </c>
      <c r="J51" s="258" t="s">
        <v>190</v>
      </c>
      <c r="K51" s="72"/>
      <c r="L51" s="72"/>
      <c r="M51" s="72"/>
      <c r="N51" s="72"/>
      <c r="O51" s="38"/>
      <c r="P51" s="38"/>
      <c r="Q51" s="38"/>
      <c r="R51" s="38"/>
      <c r="S51" s="39"/>
      <c r="T51" s="37"/>
      <c r="U51" s="17"/>
    </row>
    <row r="52" spans="1:21" s="12" customFormat="1" ht="14.25" customHeight="1" thickBot="1">
      <c r="A52" s="75">
        <v>211</v>
      </c>
      <c r="B52" s="9" t="s">
        <v>133</v>
      </c>
      <c r="C52" s="93" t="s">
        <v>170</v>
      </c>
      <c r="D52" s="4" t="s">
        <v>200</v>
      </c>
      <c r="E52" s="8">
        <v>6.4</v>
      </c>
      <c r="F52" s="8" t="s">
        <v>537</v>
      </c>
      <c r="G52" s="8" t="s">
        <v>537</v>
      </c>
      <c r="H52" s="8" t="s">
        <v>537</v>
      </c>
      <c r="I52" s="8" t="s">
        <v>537</v>
      </c>
      <c r="J52" s="258" t="s">
        <v>38</v>
      </c>
      <c r="K52" s="72"/>
      <c r="L52" s="72"/>
      <c r="M52" s="72"/>
      <c r="N52" s="72"/>
      <c r="O52" s="38"/>
      <c r="P52" s="38"/>
      <c r="Q52" s="38"/>
      <c r="R52" s="38"/>
      <c r="S52" s="39"/>
      <c r="T52" s="37"/>
      <c r="U52" s="17"/>
    </row>
    <row r="53" spans="1:21" s="12" customFormat="1" ht="14.25" customHeight="1" thickBot="1">
      <c r="A53" s="75">
        <v>211</v>
      </c>
      <c r="B53" s="9" t="s">
        <v>133</v>
      </c>
      <c r="C53" s="93" t="s">
        <v>171</v>
      </c>
      <c r="D53" s="4" t="s">
        <v>201</v>
      </c>
      <c r="E53" s="2">
        <v>6.4</v>
      </c>
      <c r="F53" s="2" t="s">
        <v>537</v>
      </c>
      <c r="G53" s="2" t="s">
        <v>537</v>
      </c>
      <c r="H53" s="8" t="s">
        <v>537</v>
      </c>
      <c r="I53" s="8" t="s">
        <v>537</v>
      </c>
      <c r="J53" s="258" t="s">
        <v>38</v>
      </c>
      <c r="K53" s="72"/>
      <c r="L53" s="72"/>
      <c r="M53" s="72"/>
      <c r="N53" s="72"/>
      <c r="O53" s="38"/>
      <c r="P53" s="38"/>
      <c r="Q53" s="38"/>
      <c r="R53" s="38"/>
      <c r="S53" s="39"/>
      <c r="T53" s="37"/>
      <c r="U53" s="17"/>
    </row>
    <row r="54" spans="1:21" s="12" customFormat="1" ht="13.8" thickBot="1">
      <c r="A54" s="75">
        <v>211</v>
      </c>
      <c r="B54" s="9" t="s">
        <v>133</v>
      </c>
      <c r="C54" s="93" t="s">
        <v>202</v>
      </c>
      <c r="D54" s="4" t="s">
        <v>203</v>
      </c>
      <c r="E54" s="1">
        <v>21.8</v>
      </c>
      <c r="F54" s="14" t="s">
        <v>213</v>
      </c>
      <c r="G54" s="8" t="s">
        <v>184</v>
      </c>
      <c r="H54" s="8" t="s">
        <v>174</v>
      </c>
      <c r="I54" s="8" t="s">
        <v>537</v>
      </c>
      <c r="J54" s="258" t="s">
        <v>103</v>
      </c>
      <c r="K54" s="49"/>
      <c r="L54" s="49"/>
      <c r="M54" s="49"/>
      <c r="N54" s="49"/>
      <c r="O54" s="38"/>
      <c r="P54" s="38"/>
      <c r="Q54" s="38"/>
      <c r="R54" s="38"/>
      <c r="S54" s="39"/>
      <c r="T54" s="37"/>
      <c r="U54" s="17"/>
    </row>
    <row r="55" spans="1:21" s="12" customFormat="1" ht="14.25" customHeight="1" thickBot="1">
      <c r="A55" s="75">
        <v>211</v>
      </c>
      <c r="B55" s="9" t="s">
        <v>133</v>
      </c>
      <c r="C55" s="93" t="s">
        <v>204</v>
      </c>
      <c r="D55" s="244" t="s">
        <v>207</v>
      </c>
      <c r="E55" s="1">
        <v>20.5</v>
      </c>
      <c r="F55" s="14" t="s">
        <v>537</v>
      </c>
      <c r="G55" s="14" t="s">
        <v>537</v>
      </c>
      <c r="H55" s="14" t="s">
        <v>537</v>
      </c>
      <c r="I55" s="8" t="s">
        <v>537</v>
      </c>
      <c r="J55" s="258" t="s">
        <v>38</v>
      </c>
      <c r="K55" s="49"/>
      <c r="L55" s="49"/>
      <c r="M55" s="49"/>
      <c r="N55" s="49"/>
      <c r="O55" s="38"/>
      <c r="P55" s="38"/>
      <c r="Q55" s="38"/>
      <c r="R55" s="38"/>
      <c r="S55" s="39"/>
      <c r="T55" s="37"/>
      <c r="U55" s="17"/>
    </row>
    <row r="56" spans="1:21" s="12" customFormat="1" ht="14.25" customHeight="1" thickBot="1">
      <c r="A56" s="75">
        <v>211</v>
      </c>
      <c r="B56" s="9" t="s">
        <v>133</v>
      </c>
      <c r="C56" s="93" t="s">
        <v>206</v>
      </c>
      <c r="D56" s="244" t="s">
        <v>205</v>
      </c>
      <c r="E56" s="2">
        <v>10.5</v>
      </c>
      <c r="F56" s="14" t="s">
        <v>214</v>
      </c>
      <c r="G56" s="8" t="s">
        <v>184</v>
      </c>
      <c r="H56" s="8" t="s">
        <v>218</v>
      </c>
      <c r="I56" s="8">
        <v>3100</v>
      </c>
      <c r="J56" s="258" t="s">
        <v>132</v>
      </c>
      <c r="K56" s="49"/>
      <c r="L56" s="49"/>
      <c r="M56" s="49"/>
      <c r="N56" s="49"/>
      <c r="O56" s="38"/>
      <c r="P56" s="38"/>
      <c r="Q56" s="38"/>
      <c r="R56" s="38"/>
      <c r="S56" s="39"/>
      <c r="T56" s="37"/>
      <c r="U56" s="17"/>
    </row>
    <row r="57" spans="1:21" s="12" customFormat="1" ht="14.25" customHeight="1" thickBot="1">
      <c r="A57" s="75">
        <v>211</v>
      </c>
      <c r="B57" s="9" t="s">
        <v>133</v>
      </c>
      <c r="C57" s="93" t="s">
        <v>208</v>
      </c>
      <c r="D57" s="4" t="s">
        <v>215</v>
      </c>
      <c r="E57" s="24">
        <v>11.2</v>
      </c>
      <c r="F57" s="14" t="s">
        <v>216</v>
      </c>
      <c r="G57" s="8" t="s">
        <v>217</v>
      </c>
      <c r="H57" s="8" t="s">
        <v>174</v>
      </c>
      <c r="I57" s="8" t="s">
        <v>537</v>
      </c>
      <c r="J57" s="258" t="s">
        <v>103</v>
      </c>
      <c r="K57" s="49"/>
      <c r="L57" s="49"/>
      <c r="M57" s="49"/>
      <c r="N57" s="49"/>
      <c r="O57" s="38"/>
      <c r="P57" s="38"/>
      <c r="Q57" s="38"/>
      <c r="R57" s="38"/>
      <c r="S57" s="39"/>
      <c r="T57" s="37"/>
      <c r="U57" s="17"/>
    </row>
    <row r="58" spans="1:21" s="12" customFormat="1" ht="14.25" customHeight="1" thickBot="1">
      <c r="A58" s="75">
        <v>211</v>
      </c>
      <c r="B58" s="9" t="s">
        <v>133</v>
      </c>
      <c r="C58" s="93" t="s">
        <v>209</v>
      </c>
      <c r="D58" s="4" t="s">
        <v>183</v>
      </c>
      <c r="E58" s="1">
        <v>10.3</v>
      </c>
      <c r="F58" s="14" t="s">
        <v>159</v>
      </c>
      <c r="G58" s="8" t="s">
        <v>173</v>
      </c>
      <c r="H58" s="8" t="s">
        <v>218</v>
      </c>
      <c r="I58" s="8">
        <v>2800</v>
      </c>
      <c r="J58" s="258" t="s">
        <v>190</v>
      </c>
      <c r="K58" s="49"/>
      <c r="L58" s="49"/>
      <c r="M58" s="49"/>
      <c r="N58" s="49"/>
      <c r="O58" s="38"/>
      <c r="P58" s="38"/>
      <c r="Q58" s="38"/>
      <c r="R58" s="38"/>
      <c r="S58" s="39"/>
      <c r="T58" s="37"/>
      <c r="U58" s="17"/>
    </row>
    <row r="59" spans="1:21" s="12" customFormat="1" ht="14.25" customHeight="1" thickBot="1">
      <c r="A59" s="75">
        <v>211</v>
      </c>
      <c r="B59" s="9" t="s">
        <v>133</v>
      </c>
      <c r="C59" s="93" t="s">
        <v>210</v>
      </c>
      <c r="D59" s="4" t="s">
        <v>183</v>
      </c>
      <c r="E59" s="2">
        <v>17.7</v>
      </c>
      <c r="F59" s="14" t="s">
        <v>157</v>
      </c>
      <c r="G59" s="8" t="s">
        <v>184</v>
      </c>
      <c r="H59" s="8" t="s">
        <v>219</v>
      </c>
      <c r="I59" s="8">
        <v>2600</v>
      </c>
      <c r="J59" s="258" t="s">
        <v>190</v>
      </c>
      <c r="K59" s="49"/>
      <c r="L59" s="49"/>
      <c r="M59" s="49"/>
      <c r="N59" s="49"/>
      <c r="O59" s="38"/>
      <c r="P59" s="38"/>
      <c r="Q59" s="38"/>
      <c r="R59" s="38"/>
      <c r="S59" s="39"/>
      <c r="T59" s="37"/>
      <c r="U59" s="17"/>
    </row>
    <row r="60" spans="1:21" s="12" customFormat="1" ht="14.25" customHeight="1" thickBot="1">
      <c r="A60" s="75">
        <v>211</v>
      </c>
      <c r="B60" s="9" t="s">
        <v>133</v>
      </c>
      <c r="C60" s="93" t="s">
        <v>211</v>
      </c>
      <c r="D60" s="4" t="s">
        <v>183</v>
      </c>
      <c r="E60" s="1">
        <v>14.6</v>
      </c>
      <c r="F60" s="14" t="s">
        <v>157</v>
      </c>
      <c r="G60" s="8" t="s">
        <v>220</v>
      </c>
      <c r="H60" s="8" t="s">
        <v>219</v>
      </c>
      <c r="I60" s="8">
        <v>2600</v>
      </c>
      <c r="J60" s="258" t="s">
        <v>38</v>
      </c>
      <c r="K60" s="49"/>
      <c r="L60" s="49"/>
      <c r="M60" s="49"/>
      <c r="N60" s="49"/>
      <c r="O60" s="38"/>
      <c r="P60" s="38"/>
      <c r="Q60" s="38"/>
      <c r="R60" s="38"/>
      <c r="S60" s="39"/>
      <c r="T60" s="37"/>
      <c r="U60" s="17"/>
    </row>
    <row r="61" spans="1:21" s="12" customFormat="1" ht="14.25" customHeight="1" thickBot="1">
      <c r="A61" s="75">
        <v>211</v>
      </c>
      <c r="B61" s="9" t="s">
        <v>133</v>
      </c>
      <c r="C61" s="93" t="s">
        <v>212</v>
      </c>
      <c r="D61" s="4" t="s">
        <v>221</v>
      </c>
      <c r="E61" s="24">
        <v>101.8</v>
      </c>
      <c r="F61" s="14" t="s">
        <v>157</v>
      </c>
      <c r="G61" s="8" t="s">
        <v>220</v>
      </c>
      <c r="H61" s="8" t="s">
        <v>219</v>
      </c>
      <c r="I61" s="8">
        <v>2600</v>
      </c>
      <c r="J61" s="258" t="s">
        <v>38</v>
      </c>
      <c r="K61" s="49"/>
      <c r="L61" s="49"/>
      <c r="M61" s="49"/>
      <c r="N61" s="49"/>
      <c r="O61" s="38"/>
      <c r="P61" s="38"/>
      <c r="Q61" s="38"/>
      <c r="R61" s="38"/>
      <c r="S61" s="39"/>
      <c r="T61" s="37"/>
      <c r="U61" s="17"/>
    </row>
    <row r="62" spans="1:21" s="12" customFormat="1" ht="14.25" customHeight="1" thickBot="1">
      <c r="A62" s="75">
        <v>211</v>
      </c>
      <c r="B62" s="9" t="s">
        <v>133</v>
      </c>
      <c r="C62" s="93" t="s">
        <v>222</v>
      </c>
      <c r="D62" s="4" t="s">
        <v>227</v>
      </c>
      <c r="E62" s="2">
        <v>40</v>
      </c>
      <c r="F62" s="14" t="s">
        <v>157</v>
      </c>
      <c r="G62" s="8" t="s">
        <v>220</v>
      </c>
      <c r="H62" s="8" t="s">
        <v>219</v>
      </c>
      <c r="I62" s="8">
        <v>2800</v>
      </c>
      <c r="J62" s="258" t="s">
        <v>38</v>
      </c>
      <c r="K62" s="49"/>
      <c r="L62" s="49"/>
      <c r="M62" s="49"/>
      <c r="N62" s="49"/>
      <c r="O62" s="38"/>
      <c r="P62" s="38"/>
      <c r="Q62" s="38"/>
      <c r="R62" s="38"/>
      <c r="S62" s="39"/>
      <c r="T62" s="37"/>
      <c r="U62" s="17"/>
    </row>
    <row r="63" spans="1:21" s="12" customFormat="1" ht="14.25" customHeight="1" thickBot="1">
      <c r="A63" s="75">
        <v>211</v>
      </c>
      <c r="B63" s="9" t="s">
        <v>133</v>
      </c>
      <c r="C63" s="93" t="s">
        <v>223</v>
      </c>
      <c r="D63" s="4" t="s">
        <v>228</v>
      </c>
      <c r="E63" s="1">
        <v>13</v>
      </c>
      <c r="F63" s="14" t="s">
        <v>157</v>
      </c>
      <c r="G63" s="8" t="s">
        <v>220</v>
      </c>
      <c r="H63" s="8" t="s">
        <v>219</v>
      </c>
      <c r="I63" s="8">
        <v>2800</v>
      </c>
      <c r="J63" s="258" t="s">
        <v>38</v>
      </c>
      <c r="K63" s="49"/>
      <c r="L63" s="49"/>
      <c r="M63" s="49"/>
      <c r="N63" s="49"/>
      <c r="O63" s="38"/>
      <c r="P63" s="38"/>
      <c r="Q63" s="38"/>
      <c r="R63" s="38"/>
      <c r="S63" s="39"/>
      <c r="T63" s="37"/>
      <c r="U63" s="17"/>
    </row>
    <row r="64" spans="1:21" s="12" customFormat="1" ht="13.8" thickBot="1">
      <c r="A64" s="75">
        <v>211</v>
      </c>
      <c r="B64" s="9" t="s">
        <v>133</v>
      </c>
      <c r="C64" s="93" t="s">
        <v>224</v>
      </c>
      <c r="D64" s="4" t="s">
        <v>229</v>
      </c>
      <c r="E64" s="1">
        <v>18.8</v>
      </c>
      <c r="F64" s="14" t="s">
        <v>157</v>
      </c>
      <c r="G64" s="8" t="s">
        <v>220</v>
      </c>
      <c r="H64" s="8" t="s">
        <v>219</v>
      </c>
      <c r="I64" s="8">
        <v>2800</v>
      </c>
      <c r="J64" s="258" t="s">
        <v>38</v>
      </c>
      <c r="K64" s="49"/>
      <c r="L64" s="49"/>
      <c r="M64" s="49"/>
      <c r="N64" s="49"/>
      <c r="O64" s="38"/>
      <c r="P64" s="38"/>
      <c r="Q64" s="38"/>
      <c r="R64" s="38"/>
      <c r="S64" s="39"/>
      <c r="T64" s="37"/>
      <c r="U64" s="17"/>
    </row>
    <row r="65" spans="1:21" s="12" customFormat="1" ht="14.25" customHeight="1" thickBot="1">
      <c r="A65" s="75">
        <v>211</v>
      </c>
      <c r="B65" s="9" t="s">
        <v>133</v>
      </c>
      <c r="C65" s="93" t="s">
        <v>225</v>
      </c>
      <c r="D65" s="4" t="s">
        <v>230</v>
      </c>
      <c r="E65" s="2">
        <v>8.1</v>
      </c>
      <c r="F65" s="14" t="s">
        <v>157</v>
      </c>
      <c r="G65" s="8" t="s">
        <v>220</v>
      </c>
      <c r="H65" s="8" t="s">
        <v>219</v>
      </c>
      <c r="I65" s="8">
        <v>2800</v>
      </c>
      <c r="J65" s="258" t="s">
        <v>38</v>
      </c>
      <c r="K65" s="49"/>
      <c r="L65" s="49"/>
      <c r="M65" s="49"/>
      <c r="N65" s="49"/>
      <c r="O65" s="38"/>
      <c r="P65" s="38"/>
      <c r="Q65" s="38"/>
      <c r="R65" s="38"/>
      <c r="S65" s="39"/>
      <c r="T65" s="37"/>
      <c r="U65" s="17"/>
    </row>
    <row r="66" spans="1:21" s="12" customFormat="1" ht="14.25" customHeight="1" thickBot="1">
      <c r="A66" s="75">
        <v>211</v>
      </c>
      <c r="B66" s="9" t="s">
        <v>133</v>
      </c>
      <c r="C66" s="93" t="s">
        <v>226</v>
      </c>
      <c r="D66" s="4" t="s">
        <v>231</v>
      </c>
      <c r="E66" s="2">
        <v>7.5</v>
      </c>
      <c r="F66" s="14" t="s">
        <v>157</v>
      </c>
      <c r="G66" s="8" t="s">
        <v>220</v>
      </c>
      <c r="H66" s="8" t="s">
        <v>219</v>
      </c>
      <c r="I66" s="8">
        <v>2400</v>
      </c>
      <c r="J66" s="258" t="s">
        <v>38</v>
      </c>
      <c r="K66" s="49"/>
      <c r="L66" s="49"/>
      <c r="M66" s="49"/>
      <c r="N66" s="49"/>
      <c r="O66" s="38"/>
      <c r="P66" s="38"/>
      <c r="Q66" s="38"/>
      <c r="R66" s="38"/>
      <c r="S66" s="39"/>
      <c r="T66" s="37"/>
      <c r="U66" s="17"/>
    </row>
    <row r="67" spans="1:21" s="12" customFormat="1" ht="14.25" customHeight="1" thickBot="1">
      <c r="A67" s="75">
        <v>211</v>
      </c>
      <c r="B67" s="9" t="s">
        <v>133</v>
      </c>
      <c r="C67" s="93" t="s">
        <v>233</v>
      </c>
      <c r="D67" s="4" t="s">
        <v>232</v>
      </c>
      <c r="E67" s="2">
        <v>8</v>
      </c>
      <c r="F67" s="14" t="s">
        <v>237</v>
      </c>
      <c r="G67" s="8" t="s">
        <v>238</v>
      </c>
      <c r="H67" s="8" t="s">
        <v>219</v>
      </c>
      <c r="I67" s="8">
        <v>2200</v>
      </c>
      <c r="J67" s="258" t="s">
        <v>38</v>
      </c>
      <c r="K67" s="49"/>
      <c r="L67" s="49"/>
      <c r="M67" s="49"/>
      <c r="N67" s="49"/>
      <c r="O67" s="38"/>
      <c r="P67" s="38"/>
      <c r="Q67" s="38"/>
      <c r="R67" s="38"/>
      <c r="S67" s="39"/>
      <c r="T67" s="37"/>
      <c r="U67" s="17"/>
    </row>
    <row r="68" spans="1:21" s="12" customFormat="1" ht="19.2" customHeight="1" thickBot="1">
      <c r="A68" s="75">
        <v>211</v>
      </c>
      <c r="B68" s="9" t="s">
        <v>133</v>
      </c>
      <c r="C68" s="93" t="s">
        <v>234</v>
      </c>
      <c r="D68" s="4" t="s">
        <v>236</v>
      </c>
      <c r="E68" s="2">
        <v>11.1</v>
      </c>
      <c r="F68" s="14" t="s">
        <v>157</v>
      </c>
      <c r="G68" s="8" t="s">
        <v>184</v>
      </c>
      <c r="H68" s="8" t="s">
        <v>219</v>
      </c>
      <c r="I68" s="8">
        <v>2400</v>
      </c>
      <c r="J68" s="258" t="s">
        <v>38</v>
      </c>
      <c r="K68" s="49"/>
      <c r="L68" s="49"/>
      <c r="M68" s="49"/>
      <c r="N68" s="49"/>
      <c r="O68" s="38"/>
      <c r="P68" s="38"/>
      <c r="Q68" s="38"/>
      <c r="R68" s="38"/>
      <c r="S68" s="39"/>
      <c r="T68" s="37"/>
      <c r="U68" s="17"/>
    </row>
    <row r="69" spans="1:21" s="12" customFormat="1" ht="13.8" thickBot="1">
      <c r="A69" s="75">
        <v>211</v>
      </c>
      <c r="B69" s="9" t="s">
        <v>133</v>
      </c>
      <c r="C69" s="93" t="s">
        <v>235</v>
      </c>
      <c r="D69" s="4" t="s">
        <v>229</v>
      </c>
      <c r="E69" s="1">
        <v>12.9</v>
      </c>
      <c r="F69" s="14" t="s">
        <v>157</v>
      </c>
      <c r="G69" s="8" t="s">
        <v>220</v>
      </c>
      <c r="H69" s="8" t="s">
        <v>244</v>
      </c>
      <c r="I69" s="8">
        <v>2400</v>
      </c>
      <c r="J69" s="258" t="s">
        <v>38</v>
      </c>
      <c r="K69" s="49"/>
      <c r="L69" s="49"/>
      <c r="M69" s="49"/>
      <c r="N69" s="49"/>
      <c r="O69" s="38"/>
      <c r="P69" s="38"/>
      <c r="Q69" s="38"/>
      <c r="R69" s="38"/>
      <c r="S69" s="39"/>
      <c r="T69" s="37"/>
      <c r="U69" s="17"/>
    </row>
    <row r="70" spans="1:21" s="12" customFormat="1" ht="16.95" customHeight="1" thickBot="1">
      <c r="A70" s="75">
        <v>211</v>
      </c>
      <c r="B70" s="9" t="s">
        <v>133</v>
      </c>
      <c r="C70" s="93" t="s">
        <v>239</v>
      </c>
      <c r="D70" s="4" t="s">
        <v>243</v>
      </c>
      <c r="E70" s="2">
        <v>40.200000000000003</v>
      </c>
      <c r="F70" s="14" t="s">
        <v>157</v>
      </c>
      <c r="G70" s="8" t="s">
        <v>220</v>
      </c>
      <c r="H70" s="8" t="s">
        <v>245</v>
      </c>
      <c r="I70" s="8">
        <v>2800</v>
      </c>
      <c r="J70" s="258" t="s">
        <v>38</v>
      </c>
      <c r="K70" s="49"/>
      <c r="L70" s="49"/>
      <c r="M70" s="49"/>
      <c r="N70" s="49"/>
      <c r="O70" s="38"/>
      <c r="P70" s="38"/>
      <c r="Q70" s="38"/>
      <c r="R70" s="38"/>
      <c r="S70" s="39"/>
      <c r="T70" s="37"/>
      <c r="U70" s="17"/>
    </row>
    <row r="71" spans="1:21" s="12" customFormat="1" ht="14.25" customHeight="1" thickBot="1">
      <c r="A71" s="75">
        <v>211</v>
      </c>
      <c r="B71" s="9" t="s">
        <v>133</v>
      </c>
      <c r="C71" s="93" t="s">
        <v>240</v>
      </c>
      <c r="D71" s="4" t="s">
        <v>246</v>
      </c>
      <c r="E71" s="2">
        <v>21.2</v>
      </c>
      <c r="F71" s="14" t="s">
        <v>157</v>
      </c>
      <c r="G71" s="8" t="s">
        <v>220</v>
      </c>
      <c r="H71" s="8" t="s">
        <v>219</v>
      </c>
      <c r="I71" s="8">
        <v>2800</v>
      </c>
      <c r="J71" s="258" t="s">
        <v>38</v>
      </c>
      <c r="K71" s="49"/>
      <c r="L71" s="49"/>
      <c r="M71" s="49"/>
      <c r="N71" s="49"/>
      <c r="O71" s="38"/>
      <c r="P71" s="38"/>
      <c r="Q71" s="38"/>
      <c r="R71" s="38"/>
      <c r="S71" s="39"/>
      <c r="T71" s="37"/>
      <c r="U71" s="17"/>
    </row>
    <row r="72" spans="1:21" s="12" customFormat="1" ht="14.25" customHeight="1" thickBot="1">
      <c r="A72" s="75">
        <v>211</v>
      </c>
      <c r="B72" s="9" t="s">
        <v>133</v>
      </c>
      <c r="C72" s="93" t="s">
        <v>241</v>
      </c>
      <c r="D72" s="4" t="s">
        <v>247</v>
      </c>
      <c r="E72" s="2">
        <v>24.6</v>
      </c>
      <c r="F72" s="14" t="s">
        <v>157</v>
      </c>
      <c r="G72" s="8" t="s">
        <v>220</v>
      </c>
      <c r="H72" s="8" t="s">
        <v>219</v>
      </c>
      <c r="I72" s="8">
        <v>2800</v>
      </c>
      <c r="J72" s="258" t="s">
        <v>38</v>
      </c>
      <c r="K72" s="49"/>
      <c r="L72" s="49"/>
      <c r="M72" s="49"/>
      <c r="N72" s="49"/>
      <c r="O72" s="38"/>
      <c r="P72" s="38"/>
      <c r="Q72" s="38"/>
      <c r="R72" s="38"/>
      <c r="S72" s="39"/>
      <c r="T72" s="37"/>
      <c r="U72" s="17"/>
    </row>
    <row r="73" spans="1:21" s="12" customFormat="1" ht="14.25" customHeight="1" thickBot="1">
      <c r="A73" s="75">
        <v>211</v>
      </c>
      <c r="B73" s="9" t="s">
        <v>133</v>
      </c>
      <c r="C73" s="93" t="s">
        <v>242</v>
      </c>
      <c r="D73" s="4" t="s">
        <v>248</v>
      </c>
      <c r="E73" s="1">
        <v>19.100000000000001</v>
      </c>
      <c r="F73" s="14" t="s">
        <v>157</v>
      </c>
      <c r="G73" s="8" t="s">
        <v>220</v>
      </c>
      <c r="H73" s="8" t="s">
        <v>219</v>
      </c>
      <c r="I73" s="8">
        <v>2800</v>
      </c>
      <c r="J73" s="258" t="s">
        <v>38</v>
      </c>
      <c r="K73" s="49"/>
      <c r="L73" s="49"/>
      <c r="M73" s="49"/>
      <c r="N73" s="49"/>
      <c r="O73" s="38"/>
      <c r="P73" s="38"/>
      <c r="Q73" s="38"/>
      <c r="R73" s="38"/>
      <c r="S73" s="39"/>
      <c r="T73" s="37"/>
      <c r="U73" s="17"/>
    </row>
    <row r="74" spans="1:21" s="12" customFormat="1" ht="14.25" customHeight="1" thickBot="1">
      <c r="A74" s="75">
        <v>211</v>
      </c>
      <c r="B74" s="9" t="s">
        <v>133</v>
      </c>
      <c r="C74" s="93" t="s">
        <v>250</v>
      </c>
      <c r="D74" s="4" t="s">
        <v>249</v>
      </c>
      <c r="E74" s="2">
        <v>2.8</v>
      </c>
      <c r="F74" s="14" t="s">
        <v>157</v>
      </c>
      <c r="G74" s="8" t="s">
        <v>220</v>
      </c>
      <c r="H74" s="8" t="s">
        <v>219</v>
      </c>
      <c r="I74" s="8">
        <v>2400</v>
      </c>
      <c r="J74" s="258" t="s">
        <v>38</v>
      </c>
      <c r="K74" s="49"/>
      <c r="L74" s="49"/>
      <c r="M74" s="49"/>
      <c r="N74" s="49"/>
      <c r="O74" s="38"/>
      <c r="P74" s="38"/>
      <c r="Q74" s="38"/>
      <c r="R74" s="38"/>
      <c r="S74" s="39"/>
      <c r="T74" s="37"/>
      <c r="U74" s="17"/>
    </row>
    <row r="75" spans="1:21" s="12" customFormat="1" ht="14.25" customHeight="1" thickBot="1">
      <c r="A75" s="75">
        <v>211</v>
      </c>
      <c r="B75" s="9" t="s">
        <v>133</v>
      </c>
      <c r="C75" s="93" t="s">
        <v>251</v>
      </c>
      <c r="D75" s="4" t="s">
        <v>254</v>
      </c>
      <c r="E75" s="1">
        <v>7.7</v>
      </c>
      <c r="F75" s="14" t="s">
        <v>157</v>
      </c>
      <c r="G75" s="8" t="s">
        <v>220</v>
      </c>
      <c r="H75" s="8" t="s">
        <v>219</v>
      </c>
      <c r="I75" s="8">
        <v>2400</v>
      </c>
      <c r="J75" s="258" t="s">
        <v>38</v>
      </c>
      <c r="K75" s="49"/>
      <c r="L75" s="49"/>
      <c r="M75" s="49"/>
      <c r="N75" s="49"/>
      <c r="O75" s="38"/>
      <c r="P75" s="38"/>
      <c r="Q75" s="38"/>
      <c r="R75" s="38"/>
      <c r="S75" s="39"/>
      <c r="T75" s="37"/>
      <c r="U75" s="17"/>
    </row>
    <row r="76" spans="1:21" s="12" customFormat="1" ht="14.25" customHeight="1" thickBot="1">
      <c r="A76" s="75">
        <v>211</v>
      </c>
      <c r="B76" s="9" t="s">
        <v>133</v>
      </c>
      <c r="C76" s="93" t="s">
        <v>252</v>
      </c>
      <c r="D76" s="4" t="s">
        <v>255</v>
      </c>
      <c r="E76" s="2">
        <v>8.1999999999999993</v>
      </c>
      <c r="F76" s="14" t="s">
        <v>157</v>
      </c>
      <c r="G76" s="8" t="s">
        <v>220</v>
      </c>
      <c r="H76" s="8" t="s">
        <v>219</v>
      </c>
      <c r="I76" s="8">
        <v>2200</v>
      </c>
      <c r="J76" s="258" t="s">
        <v>38</v>
      </c>
      <c r="K76" s="49"/>
      <c r="L76" s="49"/>
      <c r="M76" s="49"/>
      <c r="N76" s="49"/>
      <c r="O76" s="38"/>
      <c r="P76" s="38"/>
      <c r="Q76" s="38"/>
      <c r="R76" s="38"/>
      <c r="S76" s="39"/>
      <c r="T76" s="37"/>
      <c r="U76" s="17"/>
    </row>
    <row r="77" spans="1:21" s="12" customFormat="1" ht="14.25" customHeight="1" thickBot="1">
      <c r="A77" s="75">
        <v>211</v>
      </c>
      <c r="B77" s="9" t="s">
        <v>133</v>
      </c>
      <c r="C77" s="93" t="s">
        <v>253</v>
      </c>
      <c r="D77" s="4" t="s">
        <v>182</v>
      </c>
      <c r="E77" s="1">
        <v>14.3</v>
      </c>
      <c r="F77" s="14" t="s">
        <v>538</v>
      </c>
      <c r="G77" s="14" t="s">
        <v>538</v>
      </c>
      <c r="H77" s="14" t="s">
        <v>538</v>
      </c>
      <c r="I77" s="14" t="s">
        <v>538</v>
      </c>
      <c r="J77" s="258" t="s">
        <v>38</v>
      </c>
      <c r="K77" s="49"/>
      <c r="L77" s="49"/>
      <c r="M77" s="49"/>
      <c r="N77" s="49"/>
      <c r="O77" s="38"/>
      <c r="P77" s="38"/>
      <c r="Q77" s="38"/>
      <c r="R77" s="38"/>
      <c r="S77" s="39"/>
      <c r="T77" s="37"/>
      <c r="U77" s="17"/>
    </row>
    <row r="78" spans="1:21" s="191" customFormat="1" ht="14.25" customHeight="1" thickBot="1">
      <c r="A78" s="179">
        <v>211</v>
      </c>
      <c r="B78" s="180" t="s">
        <v>73</v>
      </c>
      <c r="C78" s="181"/>
      <c r="D78" s="245" t="s">
        <v>935</v>
      </c>
      <c r="E78" s="183">
        <v>2135.4</v>
      </c>
      <c r="F78" s="184"/>
      <c r="G78" s="185"/>
      <c r="H78" s="185"/>
      <c r="I78" s="185"/>
      <c r="J78" s="185"/>
      <c r="K78" s="186"/>
      <c r="L78" s="186"/>
      <c r="M78" s="186"/>
      <c r="N78" s="186"/>
      <c r="O78" s="187"/>
      <c r="P78" s="187"/>
      <c r="Q78" s="187"/>
      <c r="R78" s="187"/>
      <c r="S78" s="188"/>
      <c r="T78" s="189"/>
      <c r="U78" s="190"/>
    </row>
    <row r="79" spans="1:21" s="12" customFormat="1" ht="14.25" customHeight="1" thickBot="1">
      <c r="A79" s="75">
        <v>211</v>
      </c>
      <c r="B79" s="9" t="s">
        <v>256</v>
      </c>
      <c r="C79" s="93" t="s">
        <v>257</v>
      </c>
      <c r="D79" s="4" t="s">
        <v>258</v>
      </c>
      <c r="E79" s="1">
        <v>18.5</v>
      </c>
      <c r="F79" s="14" t="s">
        <v>259</v>
      </c>
      <c r="G79" s="8" t="s">
        <v>173</v>
      </c>
      <c r="H79" s="8" t="s">
        <v>260</v>
      </c>
      <c r="I79" s="8" t="s">
        <v>537</v>
      </c>
      <c r="J79" s="49" t="s">
        <v>261</v>
      </c>
      <c r="K79" s="49"/>
      <c r="L79" s="49"/>
      <c r="M79" s="49"/>
      <c r="N79" s="49"/>
      <c r="O79" s="38"/>
      <c r="P79" s="38"/>
      <c r="Q79" s="38"/>
      <c r="R79" s="38"/>
      <c r="S79" s="39"/>
      <c r="T79" s="37"/>
      <c r="U79" s="17"/>
    </row>
    <row r="80" spans="1:21" s="12" customFormat="1" ht="14.25" customHeight="1" thickBot="1">
      <c r="A80" s="75">
        <v>211</v>
      </c>
      <c r="B80" s="9" t="s">
        <v>256</v>
      </c>
      <c r="C80" s="93" t="s">
        <v>262</v>
      </c>
      <c r="D80" s="4" t="s">
        <v>183</v>
      </c>
      <c r="E80" s="2">
        <v>14.5</v>
      </c>
      <c r="F80" s="14" t="s">
        <v>159</v>
      </c>
      <c r="G80" s="8" t="s">
        <v>173</v>
      </c>
      <c r="H80" s="8" t="s">
        <v>218</v>
      </c>
      <c r="I80" s="8">
        <v>2800</v>
      </c>
      <c r="J80" s="49" t="s">
        <v>261</v>
      </c>
      <c r="K80" s="49"/>
      <c r="L80" s="49"/>
      <c r="M80" s="49"/>
      <c r="N80" s="49"/>
      <c r="O80" s="38"/>
      <c r="P80" s="38"/>
      <c r="Q80" s="38"/>
      <c r="R80" s="38"/>
      <c r="S80" s="39"/>
      <c r="T80" s="37"/>
      <c r="U80" s="17"/>
    </row>
    <row r="81" spans="1:21" s="12" customFormat="1" ht="14.25" customHeight="1" thickBot="1">
      <c r="A81" s="75">
        <v>211</v>
      </c>
      <c r="B81" s="9" t="s">
        <v>256</v>
      </c>
      <c r="C81" s="93" t="s">
        <v>263</v>
      </c>
      <c r="D81" s="4" t="s">
        <v>271</v>
      </c>
      <c r="E81" s="2">
        <v>10.5</v>
      </c>
      <c r="F81" s="14" t="s">
        <v>214</v>
      </c>
      <c r="G81" s="8" t="s">
        <v>272</v>
      </c>
      <c r="H81" s="8" t="s">
        <v>218</v>
      </c>
      <c r="I81" s="8">
        <v>3100</v>
      </c>
      <c r="J81" s="50" t="s">
        <v>270</v>
      </c>
      <c r="K81" s="49"/>
      <c r="L81" s="49"/>
      <c r="M81" s="49"/>
      <c r="N81" s="49"/>
      <c r="O81" s="38"/>
      <c r="P81" s="38"/>
      <c r="Q81" s="38"/>
      <c r="R81" s="38"/>
      <c r="S81" s="39"/>
      <c r="T81" s="37"/>
      <c r="U81" s="17"/>
    </row>
    <row r="82" spans="1:21" s="12" customFormat="1" ht="14.25" customHeight="1" thickBot="1">
      <c r="A82" s="75">
        <v>211</v>
      </c>
      <c r="B82" s="9" t="s">
        <v>256</v>
      </c>
      <c r="C82" s="93" t="s">
        <v>264</v>
      </c>
      <c r="D82" s="4" t="s">
        <v>215</v>
      </c>
      <c r="E82" s="2">
        <v>11.2</v>
      </c>
      <c r="F82" s="14" t="s">
        <v>216</v>
      </c>
      <c r="G82" s="8" t="s">
        <v>184</v>
      </c>
      <c r="H82" s="8" t="s">
        <v>174</v>
      </c>
      <c r="I82" s="8" t="s">
        <v>537</v>
      </c>
      <c r="J82" s="49" t="s">
        <v>195</v>
      </c>
      <c r="K82" s="49"/>
      <c r="L82" s="49"/>
      <c r="M82" s="49"/>
      <c r="N82" s="49"/>
      <c r="O82" s="38"/>
      <c r="P82" s="38"/>
      <c r="Q82" s="38"/>
      <c r="R82" s="38"/>
      <c r="S82" s="39"/>
      <c r="T82" s="37"/>
      <c r="U82" s="17"/>
    </row>
    <row r="83" spans="1:21" s="12" customFormat="1" ht="14.25" customHeight="1" thickBot="1">
      <c r="A83" s="75">
        <v>211</v>
      </c>
      <c r="B83" s="9" t="s">
        <v>256</v>
      </c>
      <c r="C83" s="93" t="s">
        <v>265</v>
      </c>
      <c r="D83" s="4" t="s">
        <v>182</v>
      </c>
      <c r="E83" s="2">
        <v>20.5</v>
      </c>
      <c r="F83" s="14" t="s">
        <v>537</v>
      </c>
      <c r="G83" s="14" t="s">
        <v>537</v>
      </c>
      <c r="H83" s="14" t="s">
        <v>537</v>
      </c>
      <c r="I83" s="14" t="s">
        <v>537</v>
      </c>
      <c r="J83" s="14" t="s">
        <v>537</v>
      </c>
      <c r="K83" s="49"/>
      <c r="L83" s="49"/>
      <c r="M83" s="49"/>
      <c r="N83" s="49"/>
      <c r="O83" s="38"/>
      <c r="P83" s="38"/>
      <c r="Q83" s="38"/>
      <c r="R83" s="38"/>
      <c r="S83" s="39"/>
      <c r="T83" s="37"/>
      <c r="U83" s="17"/>
    </row>
    <row r="84" spans="1:21" s="12" customFormat="1" ht="14.25" customHeight="1" thickBot="1">
      <c r="A84" s="75">
        <v>211</v>
      </c>
      <c r="B84" s="9" t="s">
        <v>256</v>
      </c>
      <c r="C84" s="93" t="s">
        <v>266</v>
      </c>
      <c r="D84" s="4" t="s">
        <v>273</v>
      </c>
      <c r="E84" s="2">
        <v>11.6</v>
      </c>
      <c r="F84" s="14" t="s">
        <v>274</v>
      </c>
      <c r="G84" s="8" t="s">
        <v>220</v>
      </c>
      <c r="H84" s="8" t="s">
        <v>275</v>
      </c>
      <c r="I84" s="8">
        <v>2800</v>
      </c>
      <c r="J84" s="49" t="s">
        <v>537</v>
      </c>
      <c r="K84" s="49"/>
      <c r="L84" s="49"/>
      <c r="M84" s="49"/>
      <c r="N84" s="49"/>
      <c r="O84" s="38"/>
      <c r="P84" s="38"/>
      <c r="Q84" s="38"/>
      <c r="R84" s="38"/>
      <c r="S84" s="39"/>
      <c r="T84" s="37"/>
      <c r="U84" s="17"/>
    </row>
    <row r="85" spans="1:21" s="12" customFormat="1" ht="14.25" customHeight="1" thickBot="1">
      <c r="A85" s="75">
        <v>211</v>
      </c>
      <c r="B85" s="9" t="s">
        <v>256</v>
      </c>
      <c r="C85" s="93" t="s">
        <v>267</v>
      </c>
      <c r="D85" s="4" t="s">
        <v>149</v>
      </c>
      <c r="E85" s="2">
        <v>12.6</v>
      </c>
      <c r="F85" s="14" t="s">
        <v>157</v>
      </c>
      <c r="G85" s="8" t="s">
        <v>276</v>
      </c>
      <c r="H85" s="8" t="s">
        <v>275</v>
      </c>
      <c r="I85" s="8">
        <v>2800</v>
      </c>
      <c r="J85" s="49" t="s">
        <v>538</v>
      </c>
      <c r="K85" s="49"/>
      <c r="L85" s="49"/>
      <c r="M85" s="49"/>
      <c r="N85" s="49"/>
      <c r="O85" s="38"/>
      <c r="P85" s="38"/>
      <c r="Q85" s="38"/>
      <c r="R85" s="38"/>
      <c r="S85" s="39"/>
      <c r="T85" s="37"/>
      <c r="U85" s="17"/>
    </row>
    <row r="86" spans="1:21" s="12" customFormat="1" ht="14.25" customHeight="1" thickBot="1">
      <c r="A86" s="75">
        <v>211</v>
      </c>
      <c r="B86" s="9" t="s">
        <v>256</v>
      </c>
      <c r="C86" s="93" t="s">
        <v>268</v>
      </c>
      <c r="D86" s="4" t="s">
        <v>200</v>
      </c>
      <c r="E86" s="2">
        <v>6.4</v>
      </c>
      <c r="F86" s="14" t="s">
        <v>538</v>
      </c>
      <c r="G86" s="14" t="s">
        <v>538</v>
      </c>
      <c r="H86" s="14" t="s">
        <v>538</v>
      </c>
      <c r="I86" s="14" t="s">
        <v>538</v>
      </c>
      <c r="J86" s="14" t="s">
        <v>538</v>
      </c>
      <c r="K86" s="49"/>
      <c r="L86" s="49"/>
      <c r="M86" s="49"/>
      <c r="N86" s="49"/>
      <c r="O86" s="38"/>
      <c r="P86" s="38"/>
      <c r="Q86" s="38"/>
      <c r="R86" s="38"/>
      <c r="S86" s="39"/>
      <c r="T86" s="37"/>
      <c r="U86" s="17"/>
    </row>
    <row r="87" spans="1:21" s="12" customFormat="1" ht="14.25" customHeight="1" thickBot="1">
      <c r="A87" s="75">
        <v>211</v>
      </c>
      <c r="B87" s="9" t="s">
        <v>256</v>
      </c>
      <c r="C87" s="93" t="s">
        <v>269</v>
      </c>
      <c r="D87" s="4" t="s">
        <v>201</v>
      </c>
      <c r="E87" s="2">
        <v>6.4</v>
      </c>
      <c r="F87" s="14" t="s">
        <v>537</v>
      </c>
      <c r="G87" s="14" t="s">
        <v>537</v>
      </c>
      <c r="H87" s="14" t="s">
        <v>537</v>
      </c>
      <c r="I87" s="14" t="s">
        <v>537</v>
      </c>
      <c r="J87" s="14" t="s">
        <v>537</v>
      </c>
      <c r="K87" s="49"/>
      <c r="L87" s="49"/>
      <c r="M87" s="49"/>
      <c r="N87" s="49"/>
      <c r="O87" s="38"/>
      <c r="P87" s="38"/>
      <c r="Q87" s="38"/>
      <c r="R87" s="38"/>
      <c r="S87" s="39"/>
      <c r="T87" s="37"/>
      <c r="U87" s="17"/>
    </row>
    <row r="88" spans="1:21" s="12" customFormat="1" ht="14.25" customHeight="1" thickBot="1">
      <c r="A88" s="75">
        <v>211</v>
      </c>
      <c r="B88" s="9" t="s">
        <v>256</v>
      </c>
      <c r="C88" s="93" t="s">
        <v>277</v>
      </c>
      <c r="D88" s="4" t="s">
        <v>278</v>
      </c>
      <c r="E88" s="77">
        <v>239</v>
      </c>
      <c r="F88" s="14" t="s">
        <v>279</v>
      </c>
      <c r="G88" s="8" t="s">
        <v>283</v>
      </c>
      <c r="H88" s="8" t="s">
        <v>185</v>
      </c>
      <c r="I88" s="8">
        <v>2800</v>
      </c>
      <c r="J88" s="49" t="s">
        <v>190</v>
      </c>
      <c r="K88" s="49"/>
      <c r="L88" s="49"/>
      <c r="M88" s="49"/>
      <c r="N88" s="49"/>
      <c r="O88" s="38"/>
      <c r="P88" s="38"/>
      <c r="Q88" s="38"/>
      <c r="R88" s="38"/>
      <c r="S88" s="39"/>
      <c r="T88" s="37"/>
      <c r="U88" s="17"/>
    </row>
    <row r="89" spans="1:21" s="12" customFormat="1" ht="19.2" customHeight="1" thickBot="1">
      <c r="A89" s="75">
        <v>211</v>
      </c>
      <c r="B89" s="9" t="s">
        <v>256</v>
      </c>
      <c r="C89" s="93" t="s">
        <v>280</v>
      </c>
      <c r="D89" s="244" t="s">
        <v>281</v>
      </c>
      <c r="E89" s="2">
        <v>59.8</v>
      </c>
      <c r="F89" s="14" t="s">
        <v>282</v>
      </c>
      <c r="G89" s="8" t="s">
        <v>184</v>
      </c>
      <c r="H89" s="8" t="s">
        <v>185</v>
      </c>
      <c r="I89" s="8">
        <v>2800</v>
      </c>
      <c r="J89" s="49" t="s">
        <v>190</v>
      </c>
      <c r="K89" s="49"/>
      <c r="L89" s="49"/>
      <c r="M89" s="49"/>
      <c r="N89" s="49"/>
      <c r="O89" s="38"/>
      <c r="P89" s="38"/>
      <c r="Q89" s="38"/>
      <c r="R89" s="38"/>
      <c r="S89" s="39"/>
      <c r="T89" s="37"/>
      <c r="U89" s="17"/>
    </row>
    <row r="90" spans="1:21" s="12" customFormat="1" ht="16.95" customHeight="1" thickBot="1">
      <c r="A90" s="75">
        <v>211</v>
      </c>
      <c r="B90" s="9" t="s">
        <v>256</v>
      </c>
      <c r="C90" s="93" t="s">
        <v>284</v>
      </c>
      <c r="D90" s="4" t="s">
        <v>285</v>
      </c>
      <c r="E90" s="2">
        <v>13.2</v>
      </c>
      <c r="F90" s="14" t="s">
        <v>279</v>
      </c>
      <c r="G90" s="8" t="s">
        <v>287</v>
      </c>
      <c r="H90" s="8" t="s">
        <v>185</v>
      </c>
      <c r="I90" s="8">
        <v>2800</v>
      </c>
      <c r="J90" s="49" t="s">
        <v>190</v>
      </c>
      <c r="K90" s="49"/>
      <c r="L90" s="49"/>
      <c r="M90" s="49"/>
      <c r="N90" s="49"/>
      <c r="O90" s="38"/>
      <c r="P90" s="38"/>
      <c r="Q90" s="38"/>
      <c r="R90" s="38"/>
      <c r="S90" s="39"/>
      <c r="T90" s="37"/>
      <c r="U90" s="17"/>
    </row>
    <row r="91" spans="1:21" s="12" customFormat="1" ht="14.25" customHeight="1" thickBot="1">
      <c r="A91" s="75">
        <v>211</v>
      </c>
      <c r="B91" s="9" t="s">
        <v>256</v>
      </c>
      <c r="C91" s="93" t="s">
        <v>288</v>
      </c>
      <c r="D91" s="4" t="s">
        <v>183</v>
      </c>
      <c r="E91" s="2">
        <v>61.9</v>
      </c>
      <c r="F91" s="14" t="s">
        <v>279</v>
      </c>
      <c r="G91" s="8" t="s">
        <v>287</v>
      </c>
      <c r="H91" s="8" t="s">
        <v>185</v>
      </c>
      <c r="I91" s="8">
        <v>2800</v>
      </c>
      <c r="J91" s="49" t="s">
        <v>190</v>
      </c>
      <c r="K91" s="49"/>
      <c r="L91" s="49"/>
      <c r="M91" s="49"/>
      <c r="N91" s="49"/>
      <c r="O91" s="38"/>
      <c r="P91" s="38"/>
      <c r="Q91" s="38"/>
      <c r="R91" s="38"/>
      <c r="S91" s="39"/>
      <c r="T91" s="37"/>
      <c r="U91" s="17"/>
    </row>
    <row r="92" spans="1:21" s="12" customFormat="1" ht="14.25" customHeight="1" thickBot="1">
      <c r="A92" s="75">
        <v>211</v>
      </c>
      <c r="B92" s="9" t="s">
        <v>256</v>
      </c>
      <c r="C92" s="93" t="s">
        <v>289</v>
      </c>
      <c r="D92" s="4" t="s">
        <v>285</v>
      </c>
      <c r="E92" s="2">
        <v>13.2</v>
      </c>
      <c r="F92" s="14" t="s">
        <v>279</v>
      </c>
      <c r="G92" s="8" t="s">
        <v>287</v>
      </c>
      <c r="H92" s="8" t="s">
        <v>185</v>
      </c>
      <c r="I92" s="8">
        <v>2800</v>
      </c>
      <c r="J92" s="49" t="s">
        <v>190</v>
      </c>
      <c r="K92" s="49"/>
      <c r="L92" s="49"/>
      <c r="M92" s="49"/>
      <c r="N92" s="49"/>
      <c r="O92" s="38"/>
      <c r="P92" s="38"/>
      <c r="Q92" s="38"/>
      <c r="R92" s="38"/>
      <c r="S92" s="39"/>
      <c r="T92" s="37"/>
      <c r="U92" s="17"/>
    </row>
    <row r="93" spans="1:21" s="12" customFormat="1" ht="14.25" customHeight="1" thickBot="1">
      <c r="A93" s="75">
        <v>211</v>
      </c>
      <c r="B93" s="9" t="s">
        <v>256</v>
      </c>
      <c r="C93" s="93" t="s">
        <v>290</v>
      </c>
      <c r="D93" s="4" t="s">
        <v>315</v>
      </c>
      <c r="E93" s="2">
        <v>17.5</v>
      </c>
      <c r="F93" s="14" t="s">
        <v>279</v>
      </c>
      <c r="G93" s="8" t="s">
        <v>287</v>
      </c>
      <c r="H93" s="8" t="s">
        <v>185</v>
      </c>
      <c r="I93" s="8">
        <v>2800</v>
      </c>
      <c r="J93" s="49" t="s">
        <v>190</v>
      </c>
      <c r="K93" s="49"/>
      <c r="L93" s="49"/>
      <c r="M93" s="49"/>
      <c r="N93" s="49"/>
      <c r="O93" s="38"/>
      <c r="P93" s="38"/>
      <c r="Q93" s="38"/>
      <c r="R93" s="38"/>
      <c r="S93" s="39"/>
      <c r="T93" s="37"/>
      <c r="U93" s="17"/>
    </row>
    <row r="94" spans="1:21" s="12" customFormat="1" ht="18.75" customHeight="1" thickBot="1">
      <c r="A94" s="75">
        <v>211</v>
      </c>
      <c r="B94" s="9" t="s">
        <v>256</v>
      </c>
      <c r="C94" s="93" t="s">
        <v>291</v>
      </c>
      <c r="D94" s="4" t="s">
        <v>191</v>
      </c>
      <c r="E94" s="5">
        <v>17.8</v>
      </c>
      <c r="F94" s="14" t="s">
        <v>279</v>
      </c>
      <c r="G94" s="8" t="s">
        <v>287</v>
      </c>
      <c r="H94" s="8" t="s">
        <v>185</v>
      </c>
      <c r="I94" s="8">
        <v>2800</v>
      </c>
      <c r="J94" s="49" t="s">
        <v>190</v>
      </c>
      <c r="K94" s="49"/>
      <c r="L94" s="49"/>
      <c r="M94" s="49"/>
      <c r="N94" s="49"/>
      <c r="O94" s="38"/>
      <c r="P94" s="38"/>
      <c r="Q94" s="38"/>
      <c r="R94" s="38"/>
      <c r="S94" s="39"/>
      <c r="T94" s="37"/>
      <c r="U94" s="17"/>
    </row>
    <row r="95" spans="1:21" s="12" customFormat="1" ht="14.25" customHeight="1" thickBot="1">
      <c r="A95" s="75">
        <v>211</v>
      </c>
      <c r="B95" s="9" t="s">
        <v>256</v>
      </c>
      <c r="C95" s="93" t="s">
        <v>293</v>
      </c>
      <c r="D95" s="244" t="s">
        <v>292</v>
      </c>
      <c r="E95" s="2">
        <v>786</v>
      </c>
      <c r="F95" s="14" t="s">
        <v>279</v>
      </c>
      <c r="G95" s="8" t="s">
        <v>287</v>
      </c>
      <c r="H95" s="8" t="s">
        <v>185</v>
      </c>
      <c r="I95" s="8">
        <v>2800</v>
      </c>
      <c r="J95" s="49" t="s">
        <v>190</v>
      </c>
      <c r="K95" s="49"/>
      <c r="L95" s="49"/>
      <c r="M95" s="49"/>
      <c r="N95" s="49"/>
      <c r="O95" s="38"/>
      <c r="P95" s="38"/>
      <c r="Q95" s="38"/>
      <c r="R95" s="38"/>
      <c r="S95" s="39"/>
      <c r="T95" s="37"/>
      <c r="U95" s="17"/>
    </row>
    <row r="96" spans="1:21" s="12" customFormat="1" ht="14.25" customHeight="1" thickBot="1">
      <c r="A96" s="75">
        <v>211</v>
      </c>
      <c r="B96" s="9" t="s">
        <v>256</v>
      </c>
      <c r="C96" s="93" t="s">
        <v>294</v>
      </c>
      <c r="D96" s="4" t="s">
        <v>1295</v>
      </c>
      <c r="E96" s="2">
        <v>17.8</v>
      </c>
      <c r="F96" s="14" t="s">
        <v>279</v>
      </c>
      <c r="G96" s="8" t="s">
        <v>295</v>
      </c>
      <c r="H96" s="8" t="s">
        <v>185</v>
      </c>
      <c r="I96" s="8">
        <v>2800</v>
      </c>
      <c r="J96" s="49" t="s">
        <v>190</v>
      </c>
      <c r="K96" s="49"/>
      <c r="L96" s="49"/>
      <c r="M96" s="49"/>
      <c r="N96" s="49"/>
      <c r="O96" s="38"/>
      <c r="P96" s="38"/>
      <c r="Q96" s="38"/>
      <c r="R96" s="38"/>
      <c r="S96" s="39"/>
      <c r="T96" s="37"/>
      <c r="U96" s="17"/>
    </row>
    <row r="97" spans="1:21" s="12" customFormat="1" ht="14.25" customHeight="1" thickBot="1">
      <c r="A97" s="75">
        <v>211</v>
      </c>
      <c r="B97" s="9" t="s">
        <v>256</v>
      </c>
      <c r="C97" s="93" t="s">
        <v>296</v>
      </c>
      <c r="D97" s="4" t="s">
        <v>298</v>
      </c>
      <c r="E97" s="2">
        <v>13.7</v>
      </c>
      <c r="F97" s="14" t="s">
        <v>279</v>
      </c>
      <c r="G97" s="8" t="s">
        <v>173</v>
      </c>
      <c r="H97" s="8" t="s">
        <v>185</v>
      </c>
      <c r="I97" s="8">
        <v>2800</v>
      </c>
      <c r="J97" s="49" t="s">
        <v>190</v>
      </c>
      <c r="K97" s="49"/>
      <c r="L97" s="49"/>
      <c r="M97" s="49"/>
      <c r="N97" s="49"/>
      <c r="O97" s="38"/>
      <c r="P97" s="38"/>
      <c r="Q97" s="38"/>
      <c r="R97" s="38"/>
      <c r="S97" s="39"/>
      <c r="T97" s="37"/>
      <c r="U97" s="17"/>
    </row>
    <row r="98" spans="1:21" s="12" customFormat="1" ht="14.25" customHeight="1" thickBot="1">
      <c r="A98" s="75">
        <v>211</v>
      </c>
      <c r="B98" s="9" t="s">
        <v>256</v>
      </c>
      <c r="C98" s="93" t="s">
        <v>299</v>
      </c>
      <c r="D98" s="4" t="s">
        <v>300</v>
      </c>
      <c r="E98" s="2">
        <v>12.9</v>
      </c>
      <c r="F98" s="14" t="s">
        <v>539</v>
      </c>
      <c r="G98" s="14" t="s">
        <v>539</v>
      </c>
      <c r="H98" s="14" t="s">
        <v>539</v>
      </c>
      <c r="I98" s="14" t="s">
        <v>539</v>
      </c>
      <c r="J98" s="14" t="s">
        <v>539</v>
      </c>
      <c r="K98" s="49"/>
      <c r="L98" s="49"/>
      <c r="M98" s="49"/>
      <c r="N98" s="49"/>
      <c r="O98" s="38"/>
      <c r="P98" s="38"/>
      <c r="Q98" s="38"/>
      <c r="R98" s="38"/>
      <c r="S98" s="39"/>
      <c r="T98" s="37"/>
      <c r="U98" s="17"/>
    </row>
    <row r="99" spans="1:21" s="12" customFormat="1" ht="14.25" customHeight="1" thickBot="1">
      <c r="A99" s="75">
        <v>211</v>
      </c>
      <c r="B99" s="9" t="s">
        <v>256</v>
      </c>
      <c r="C99" s="93" t="s">
        <v>301</v>
      </c>
      <c r="D99" s="4" t="s">
        <v>304</v>
      </c>
      <c r="E99" s="2">
        <v>7.9</v>
      </c>
      <c r="F99" s="14" t="s">
        <v>537</v>
      </c>
      <c r="G99" s="14" t="s">
        <v>537</v>
      </c>
      <c r="H99" s="14" t="s">
        <v>537</v>
      </c>
      <c r="I99" s="14" t="s">
        <v>537</v>
      </c>
      <c r="J99" s="14" t="s">
        <v>537</v>
      </c>
      <c r="K99" s="49"/>
      <c r="L99" s="49"/>
      <c r="M99" s="49"/>
      <c r="N99" s="49"/>
      <c r="O99" s="38"/>
      <c r="P99" s="38"/>
      <c r="Q99" s="38"/>
      <c r="R99" s="38"/>
      <c r="S99" s="39"/>
      <c r="T99" s="37"/>
      <c r="U99" s="17"/>
    </row>
    <row r="100" spans="1:21" s="12" customFormat="1" ht="14.25" customHeight="1" thickBot="1">
      <c r="A100" s="75">
        <v>211</v>
      </c>
      <c r="B100" s="9" t="s">
        <v>256</v>
      </c>
      <c r="C100" s="93" t="s">
        <v>302</v>
      </c>
      <c r="D100" s="4" t="s">
        <v>183</v>
      </c>
      <c r="E100" s="2">
        <v>17</v>
      </c>
      <c r="F100" s="14" t="s">
        <v>159</v>
      </c>
      <c r="G100" s="8" t="s">
        <v>306</v>
      </c>
      <c r="H100" s="8" t="s">
        <v>218</v>
      </c>
      <c r="I100" s="8">
        <v>2800</v>
      </c>
      <c r="J100" s="49" t="s">
        <v>307</v>
      </c>
      <c r="K100" s="49"/>
      <c r="L100" s="49"/>
      <c r="M100" s="49"/>
      <c r="N100" s="49"/>
      <c r="O100" s="38"/>
      <c r="P100" s="38"/>
      <c r="Q100" s="38"/>
      <c r="R100" s="38"/>
      <c r="S100" s="39"/>
      <c r="T100" s="37"/>
      <c r="U100" s="17"/>
    </row>
    <row r="101" spans="1:21" s="12" customFormat="1" ht="14.25" customHeight="1" thickBot="1">
      <c r="A101" s="75">
        <v>211</v>
      </c>
      <c r="B101" s="9" t="s">
        <v>256</v>
      </c>
      <c r="C101" s="93" t="s">
        <v>303</v>
      </c>
      <c r="D101" s="4" t="s">
        <v>187</v>
      </c>
      <c r="E101" s="1">
        <v>16.5</v>
      </c>
      <c r="F101" s="14" t="s">
        <v>305</v>
      </c>
      <c r="G101" s="8" t="s">
        <v>173</v>
      </c>
      <c r="H101" s="8" t="s">
        <v>174</v>
      </c>
      <c r="I101" s="8" t="s">
        <v>540</v>
      </c>
      <c r="J101" s="49" t="s">
        <v>307</v>
      </c>
      <c r="K101" s="49"/>
      <c r="L101" s="49"/>
      <c r="M101" s="49"/>
      <c r="N101" s="49"/>
      <c r="O101" s="38"/>
      <c r="P101" s="38"/>
      <c r="Q101" s="38"/>
      <c r="R101" s="38"/>
      <c r="S101" s="39"/>
      <c r="T101" s="37"/>
      <c r="U101" s="17"/>
    </row>
    <row r="102" spans="1:21" s="12" customFormat="1" ht="14.25" customHeight="1" thickBot="1">
      <c r="A102" s="75">
        <v>211</v>
      </c>
      <c r="B102" s="9" t="s">
        <v>256</v>
      </c>
      <c r="C102" s="93" t="s">
        <v>308</v>
      </c>
      <c r="D102" s="4" t="s">
        <v>298</v>
      </c>
      <c r="E102" s="1">
        <v>7.5</v>
      </c>
      <c r="F102" s="14" t="s">
        <v>279</v>
      </c>
      <c r="G102" s="8" t="s">
        <v>309</v>
      </c>
      <c r="H102" s="8" t="s">
        <v>185</v>
      </c>
      <c r="I102" s="8">
        <v>2800</v>
      </c>
      <c r="J102" s="49" t="s">
        <v>190</v>
      </c>
      <c r="K102" s="49"/>
      <c r="L102" s="49"/>
      <c r="M102" s="49"/>
      <c r="N102" s="49"/>
      <c r="O102" s="38"/>
      <c r="P102" s="38"/>
      <c r="Q102" s="38"/>
      <c r="R102" s="38"/>
      <c r="S102" s="39"/>
      <c r="T102" s="37"/>
      <c r="U102" s="17"/>
    </row>
    <row r="103" spans="1:21" s="12" customFormat="1" ht="14.25" customHeight="1" thickBot="1">
      <c r="A103" s="75">
        <v>211</v>
      </c>
      <c r="B103" s="9" t="s">
        <v>256</v>
      </c>
      <c r="C103" s="93" t="s">
        <v>310</v>
      </c>
      <c r="D103" s="4" t="s">
        <v>311</v>
      </c>
      <c r="E103" s="5">
        <v>5.8</v>
      </c>
      <c r="F103" s="14" t="s">
        <v>279</v>
      </c>
      <c r="G103" s="8" t="s">
        <v>309</v>
      </c>
      <c r="H103" s="8" t="s">
        <v>185</v>
      </c>
      <c r="I103" s="8">
        <v>2800</v>
      </c>
      <c r="J103" s="49" t="s">
        <v>190</v>
      </c>
      <c r="K103" s="49"/>
      <c r="L103" s="49"/>
      <c r="M103" s="49"/>
      <c r="N103" s="49"/>
      <c r="O103" s="38"/>
      <c r="P103" s="38"/>
      <c r="Q103" s="38"/>
      <c r="R103" s="38"/>
      <c r="S103" s="39"/>
      <c r="T103" s="37"/>
      <c r="U103" s="17"/>
    </row>
    <row r="104" spans="1:21" s="12" customFormat="1" ht="14.25" customHeight="1" thickBot="1">
      <c r="A104" s="75">
        <v>211</v>
      </c>
      <c r="B104" s="9" t="s">
        <v>256</v>
      </c>
      <c r="C104" s="93" t="s">
        <v>312</v>
      </c>
      <c r="D104" s="4" t="s">
        <v>297</v>
      </c>
      <c r="E104" s="1">
        <v>8.1999999999999993</v>
      </c>
      <c r="F104" s="14" t="s">
        <v>279</v>
      </c>
      <c r="G104" s="8" t="s">
        <v>173</v>
      </c>
      <c r="H104" s="8" t="s">
        <v>185</v>
      </c>
      <c r="I104" s="8">
        <v>2800</v>
      </c>
      <c r="J104" s="49" t="s">
        <v>190</v>
      </c>
      <c r="K104" s="49"/>
      <c r="L104" s="49"/>
      <c r="M104" s="49"/>
      <c r="N104" s="49"/>
      <c r="O104" s="38"/>
      <c r="P104" s="38"/>
      <c r="Q104" s="38"/>
      <c r="R104" s="38"/>
      <c r="S104" s="39"/>
      <c r="T104" s="37"/>
      <c r="U104" s="17"/>
    </row>
    <row r="105" spans="1:21" s="13" customFormat="1" ht="14.25" customHeight="1" thickBot="1">
      <c r="A105" s="75">
        <v>211</v>
      </c>
      <c r="B105" s="9" t="s">
        <v>256</v>
      </c>
      <c r="C105" s="93" t="s">
        <v>313</v>
      </c>
      <c r="D105" s="4" t="s">
        <v>298</v>
      </c>
      <c r="E105" s="7">
        <v>16.100000000000001</v>
      </c>
      <c r="F105" s="14" t="s">
        <v>279</v>
      </c>
      <c r="G105" s="8" t="s">
        <v>173</v>
      </c>
      <c r="H105" s="8" t="s">
        <v>185</v>
      </c>
      <c r="I105" s="8">
        <v>2800</v>
      </c>
      <c r="J105" s="49" t="s">
        <v>190</v>
      </c>
      <c r="K105" s="49"/>
      <c r="L105" s="49"/>
      <c r="M105" s="49"/>
      <c r="N105" s="49"/>
      <c r="O105" s="38"/>
      <c r="P105" s="38"/>
      <c r="Q105" s="38"/>
      <c r="R105" s="38"/>
      <c r="S105" s="39"/>
      <c r="T105" s="37"/>
      <c r="U105" s="26"/>
    </row>
    <row r="106" spans="1:21" s="13" customFormat="1" ht="14.25" customHeight="1" thickBot="1">
      <c r="A106" s="75">
        <v>211</v>
      </c>
      <c r="B106" s="9" t="s">
        <v>256</v>
      </c>
      <c r="C106" s="93" t="s">
        <v>314</v>
      </c>
      <c r="D106" s="246" t="s">
        <v>316</v>
      </c>
      <c r="E106" s="7">
        <v>43.6</v>
      </c>
      <c r="F106" s="14" t="s">
        <v>279</v>
      </c>
      <c r="G106" s="8" t="s">
        <v>309</v>
      </c>
      <c r="H106" s="8" t="s">
        <v>185</v>
      </c>
      <c r="I106" s="8">
        <v>2800</v>
      </c>
      <c r="J106" s="49" t="s">
        <v>190</v>
      </c>
      <c r="K106" s="49"/>
      <c r="L106" s="49"/>
      <c r="M106" s="49"/>
      <c r="N106" s="49"/>
      <c r="O106" s="38"/>
      <c r="P106" s="38"/>
      <c r="Q106" s="38"/>
      <c r="R106" s="38"/>
      <c r="S106" s="39"/>
      <c r="T106" s="37"/>
      <c r="U106" s="26"/>
    </row>
    <row r="107" spans="1:21" s="13" customFormat="1" ht="14.25" customHeight="1" thickBot="1">
      <c r="A107" s="75">
        <v>211</v>
      </c>
      <c r="B107" s="9" t="s">
        <v>256</v>
      </c>
      <c r="C107" s="93" t="s">
        <v>317</v>
      </c>
      <c r="D107" s="246" t="s">
        <v>191</v>
      </c>
      <c r="E107" s="7">
        <v>39.799999999999997</v>
      </c>
      <c r="F107" s="14" t="s">
        <v>279</v>
      </c>
      <c r="G107" s="8" t="s">
        <v>309</v>
      </c>
      <c r="H107" s="8" t="s">
        <v>185</v>
      </c>
      <c r="I107" s="8">
        <v>2800</v>
      </c>
      <c r="J107" s="49" t="s">
        <v>190</v>
      </c>
      <c r="K107" s="49"/>
      <c r="L107" s="49"/>
      <c r="M107" s="49"/>
      <c r="N107" s="49"/>
      <c r="O107" s="38"/>
      <c r="P107" s="38"/>
      <c r="Q107" s="38"/>
      <c r="R107" s="38"/>
      <c r="S107" s="39"/>
      <c r="T107" s="37"/>
      <c r="U107" s="26"/>
    </row>
    <row r="108" spans="1:21" s="12" customFormat="1" ht="14.25" customHeight="1" thickBot="1">
      <c r="A108" s="75">
        <v>211</v>
      </c>
      <c r="B108" s="9" t="s">
        <v>256</v>
      </c>
      <c r="C108" s="93" t="s">
        <v>318</v>
      </c>
      <c r="D108" s="4" t="s">
        <v>191</v>
      </c>
      <c r="E108" s="2">
        <v>39.799999999999997</v>
      </c>
      <c r="F108" s="14" t="s">
        <v>279</v>
      </c>
      <c r="G108" s="8" t="s">
        <v>309</v>
      </c>
      <c r="H108" s="8" t="s">
        <v>185</v>
      </c>
      <c r="I108" s="8">
        <v>2800</v>
      </c>
      <c r="J108" s="49" t="s">
        <v>190</v>
      </c>
      <c r="K108" s="49"/>
      <c r="L108" s="49"/>
      <c r="M108" s="49"/>
      <c r="N108" s="49"/>
      <c r="O108" s="38"/>
      <c r="P108" s="38"/>
      <c r="Q108" s="38"/>
      <c r="R108" s="38"/>
      <c r="S108" s="39"/>
      <c r="T108" s="37"/>
      <c r="U108" s="17"/>
    </row>
    <row r="109" spans="1:21" s="12" customFormat="1" ht="14.25" customHeight="1" thickBot="1">
      <c r="A109" s="75">
        <v>211</v>
      </c>
      <c r="B109" s="9" t="s">
        <v>256</v>
      </c>
      <c r="C109" s="93" t="s">
        <v>319</v>
      </c>
      <c r="D109" s="4" t="s">
        <v>320</v>
      </c>
      <c r="E109" s="1">
        <v>78.900000000000006</v>
      </c>
      <c r="F109" s="14" t="s">
        <v>279</v>
      </c>
      <c r="G109" s="8" t="s">
        <v>309</v>
      </c>
      <c r="H109" s="8" t="s">
        <v>185</v>
      </c>
      <c r="I109" s="8">
        <v>2800</v>
      </c>
      <c r="J109" s="49" t="s">
        <v>190</v>
      </c>
      <c r="K109" s="49"/>
      <c r="L109" s="49"/>
      <c r="M109" s="49"/>
      <c r="N109" s="49"/>
      <c r="O109" s="38"/>
      <c r="P109" s="38"/>
      <c r="Q109" s="38"/>
      <c r="R109" s="38"/>
      <c r="S109" s="39"/>
      <c r="T109" s="37"/>
      <c r="U109" s="17"/>
    </row>
    <row r="110" spans="1:21" s="12" customFormat="1" ht="14.25" customHeight="1" thickBot="1">
      <c r="A110" s="75">
        <v>211</v>
      </c>
      <c r="B110" s="9" t="s">
        <v>256</v>
      </c>
      <c r="C110" s="93" t="s">
        <v>321</v>
      </c>
      <c r="D110" s="4" t="s">
        <v>322</v>
      </c>
      <c r="E110" s="1">
        <v>76.7</v>
      </c>
      <c r="F110" s="14" t="s">
        <v>279</v>
      </c>
      <c r="G110" s="8" t="s">
        <v>309</v>
      </c>
      <c r="H110" s="8" t="s">
        <v>185</v>
      </c>
      <c r="I110" s="8">
        <v>2800</v>
      </c>
      <c r="J110" s="49" t="s">
        <v>340</v>
      </c>
      <c r="K110" s="49"/>
      <c r="L110" s="49"/>
      <c r="M110" s="49"/>
      <c r="N110" s="49"/>
      <c r="O110" s="38"/>
      <c r="P110" s="38"/>
      <c r="Q110" s="38"/>
      <c r="R110" s="38"/>
      <c r="S110" s="39"/>
      <c r="T110" s="37"/>
      <c r="U110" s="17"/>
    </row>
    <row r="111" spans="1:21" s="12" customFormat="1" ht="14.25" customHeight="1" thickBot="1">
      <c r="A111" s="75">
        <v>211</v>
      </c>
      <c r="B111" s="9" t="s">
        <v>256</v>
      </c>
      <c r="C111" s="93" t="s">
        <v>323</v>
      </c>
      <c r="D111" s="4" t="s">
        <v>322</v>
      </c>
      <c r="E111" s="2">
        <v>101.7</v>
      </c>
      <c r="F111" s="14" t="s">
        <v>279</v>
      </c>
      <c r="G111" s="8" t="s">
        <v>309</v>
      </c>
      <c r="H111" s="8" t="s">
        <v>185</v>
      </c>
      <c r="I111" s="8">
        <v>2800</v>
      </c>
      <c r="J111" s="49" t="s">
        <v>190</v>
      </c>
      <c r="K111" s="49"/>
      <c r="L111" s="49"/>
      <c r="M111" s="49"/>
      <c r="N111" s="49"/>
      <c r="O111" s="38"/>
      <c r="P111" s="38"/>
      <c r="Q111" s="38"/>
      <c r="R111" s="38"/>
      <c r="S111" s="39"/>
      <c r="T111" s="37"/>
      <c r="U111" s="17"/>
    </row>
    <row r="112" spans="1:21" s="12" customFormat="1" ht="14.25" customHeight="1" thickBot="1">
      <c r="A112" s="75">
        <v>211</v>
      </c>
      <c r="B112" s="9" t="s">
        <v>256</v>
      </c>
      <c r="C112" s="93" t="s">
        <v>324</v>
      </c>
      <c r="D112" s="4" t="s">
        <v>325</v>
      </c>
      <c r="E112" s="1">
        <v>56.8</v>
      </c>
      <c r="F112" s="14" t="s">
        <v>326</v>
      </c>
      <c r="G112" s="8" t="s">
        <v>287</v>
      </c>
      <c r="H112" s="8" t="s">
        <v>185</v>
      </c>
      <c r="I112" s="8">
        <v>2800</v>
      </c>
      <c r="J112" s="49" t="s">
        <v>331</v>
      </c>
      <c r="K112" s="49"/>
      <c r="L112" s="49"/>
      <c r="M112" s="49"/>
      <c r="N112" s="49"/>
      <c r="O112" s="38"/>
      <c r="P112" s="38"/>
      <c r="Q112" s="38"/>
      <c r="R112" s="38"/>
      <c r="S112" s="39"/>
      <c r="T112" s="37"/>
      <c r="U112" s="17"/>
    </row>
    <row r="113" spans="1:21" s="12" customFormat="1" ht="14.25" customHeight="1" thickBot="1">
      <c r="A113" s="75">
        <v>211</v>
      </c>
      <c r="B113" s="9" t="s">
        <v>256</v>
      </c>
      <c r="C113" s="93" t="s">
        <v>327</v>
      </c>
      <c r="D113" s="4" t="s">
        <v>328</v>
      </c>
      <c r="E113" s="2">
        <v>101.9</v>
      </c>
      <c r="F113" s="14" t="s">
        <v>329</v>
      </c>
      <c r="G113" s="8" t="s">
        <v>286</v>
      </c>
      <c r="H113" s="8" t="s">
        <v>185</v>
      </c>
      <c r="I113" s="8">
        <v>2800</v>
      </c>
      <c r="J113" s="49" t="s">
        <v>330</v>
      </c>
      <c r="K113" s="49"/>
      <c r="L113" s="49"/>
      <c r="M113" s="49"/>
      <c r="N113" s="49"/>
      <c r="O113" s="38"/>
      <c r="P113" s="38"/>
      <c r="Q113" s="38"/>
      <c r="R113" s="38"/>
      <c r="S113" s="39"/>
      <c r="T113" s="37"/>
      <c r="U113" s="17"/>
    </row>
    <row r="114" spans="1:21" s="12" customFormat="1" ht="14.25" customHeight="1" thickBot="1">
      <c r="A114" s="75">
        <v>211</v>
      </c>
      <c r="B114" s="9" t="s">
        <v>256</v>
      </c>
      <c r="C114" s="93" t="s">
        <v>332</v>
      </c>
      <c r="D114" s="4" t="s">
        <v>334</v>
      </c>
      <c r="E114" s="1">
        <v>31.3</v>
      </c>
      <c r="F114" s="14" t="s">
        <v>335</v>
      </c>
      <c r="G114" s="8" t="s">
        <v>338</v>
      </c>
      <c r="H114" s="8" t="s">
        <v>219</v>
      </c>
      <c r="I114" s="8">
        <v>2700</v>
      </c>
      <c r="J114" s="49" t="s">
        <v>537</v>
      </c>
      <c r="K114" s="49"/>
      <c r="L114" s="49"/>
      <c r="M114" s="49"/>
      <c r="N114" s="49"/>
      <c r="O114" s="38"/>
      <c r="P114" s="38"/>
      <c r="Q114" s="38"/>
      <c r="R114" s="38"/>
      <c r="S114" s="39"/>
      <c r="T114" s="37"/>
      <c r="U114" s="17"/>
    </row>
    <row r="115" spans="1:21" s="12" customFormat="1" ht="14.25" customHeight="1" thickBot="1">
      <c r="A115" s="75">
        <v>211</v>
      </c>
      <c r="B115" s="9" t="s">
        <v>256</v>
      </c>
      <c r="C115" s="93" t="s">
        <v>333</v>
      </c>
      <c r="D115" s="4" t="s">
        <v>346</v>
      </c>
      <c r="E115" s="2">
        <v>31.3</v>
      </c>
      <c r="F115" s="14" t="s">
        <v>336</v>
      </c>
      <c r="G115" s="8" t="s">
        <v>339</v>
      </c>
      <c r="H115" s="8" t="s">
        <v>347</v>
      </c>
      <c r="I115" s="8">
        <v>2700</v>
      </c>
      <c r="J115" s="47" t="s">
        <v>537</v>
      </c>
      <c r="K115" s="71"/>
      <c r="L115" s="71"/>
      <c r="M115" s="71"/>
      <c r="N115" s="71"/>
      <c r="O115" s="38"/>
      <c r="P115" s="63"/>
      <c r="Q115" s="38"/>
      <c r="R115" s="38"/>
      <c r="S115" s="39"/>
      <c r="T115" s="37"/>
      <c r="U115" s="17"/>
    </row>
    <row r="116" spans="1:21" s="12" customFormat="1" ht="14.25" customHeight="1" thickBot="1">
      <c r="A116" s="75">
        <v>211</v>
      </c>
      <c r="B116" s="9" t="s">
        <v>256</v>
      </c>
      <c r="C116" s="93" t="s">
        <v>342</v>
      </c>
      <c r="D116" s="4" t="s">
        <v>344</v>
      </c>
      <c r="E116" s="2">
        <v>36.4</v>
      </c>
      <c r="F116" s="14" t="s">
        <v>337</v>
      </c>
      <c r="G116" s="8" t="s">
        <v>345</v>
      </c>
      <c r="H116" s="8" t="s">
        <v>349</v>
      </c>
      <c r="I116" s="8">
        <v>2800</v>
      </c>
      <c r="J116" s="47" t="s">
        <v>341</v>
      </c>
      <c r="K116" s="71"/>
      <c r="L116" s="71"/>
      <c r="M116" s="71"/>
      <c r="N116" s="71"/>
      <c r="O116" s="38"/>
      <c r="P116" s="63"/>
      <c r="Q116" s="38"/>
      <c r="R116" s="38"/>
      <c r="S116" s="39"/>
      <c r="T116" s="37"/>
      <c r="U116" s="17"/>
    </row>
    <row r="117" spans="1:21" s="12" customFormat="1" ht="14.25" customHeight="1" thickBot="1">
      <c r="A117" s="75">
        <v>211</v>
      </c>
      <c r="B117" s="9" t="s">
        <v>256</v>
      </c>
      <c r="C117" s="93" t="s">
        <v>343</v>
      </c>
      <c r="D117" s="4" t="s">
        <v>348</v>
      </c>
      <c r="E117" s="2">
        <v>5.9</v>
      </c>
      <c r="F117" s="14" t="s">
        <v>352</v>
      </c>
      <c r="G117" s="8" t="s">
        <v>345</v>
      </c>
      <c r="H117" s="8" t="s">
        <v>66</v>
      </c>
      <c r="I117" s="8">
        <v>2800</v>
      </c>
      <c r="J117" s="47" t="s">
        <v>341</v>
      </c>
      <c r="K117" s="71"/>
      <c r="L117" s="71"/>
      <c r="M117" s="71"/>
      <c r="N117" s="71"/>
      <c r="O117" s="38"/>
      <c r="P117" s="63"/>
      <c r="Q117" s="38"/>
      <c r="R117" s="38"/>
      <c r="S117" s="39"/>
      <c r="T117" s="37"/>
      <c r="U117" s="17"/>
    </row>
    <row r="118" spans="1:21" s="12" customFormat="1" ht="14.25" customHeight="1" thickBot="1">
      <c r="A118" s="75">
        <v>211</v>
      </c>
      <c r="B118" s="9" t="s">
        <v>256</v>
      </c>
      <c r="C118" s="93" t="s">
        <v>350</v>
      </c>
      <c r="D118" s="244" t="s">
        <v>351</v>
      </c>
      <c r="E118" s="1" t="s">
        <v>1075</v>
      </c>
      <c r="F118" s="22" t="s">
        <v>353</v>
      </c>
      <c r="G118" s="8" t="s">
        <v>355</v>
      </c>
      <c r="H118" s="8" t="s">
        <v>185</v>
      </c>
      <c r="I118" s="8">
        <v>2800</v>
      </c>
      <c r="J118" s="49" t="s">
        <v>190</v>
      </c>
      <c r="K118" s="49"/>
      <c r="L118" s="49"/>
      <c r="M118" s="49"/>
      <c r="N118" s="49"/>
      <c r="O118" s="38"/>
      <c r="P118" s="38"/>
      <c r="Q118" s="38"/>
      <c r="R118" s="38"/>
      <c r="S118" s="39"/>
      <c r="T118" s="37"/>
      <c r="U118" s="17"/>
    </row>
    <row r="119" spans="1:21" s="191" customFormat="1" ht="14.25" customHeight="1" thickBot="1">
      <c r="A119" s="179">
        <v>211</v>
      </c>
      <c r="B119" s="180" t="s">
        <v>256</v>
      </c>
      <c r="C119" s="181"/>
      <c r="D119" s="247" t="s">
        <v>936</v>
      </c>
      <c r="E119" s="183">
        <v>2434.8000000000002</v>
      </c>
      <c r="F119" s="192"/>
      <c r="G119" s="193"/>
      <c r="H119" s="192"/>
      <c r="I119" s="192"/>
      <c r="J119" s="186"/>
      <c r="K119" s="186"/>
      <c r="L119" s="186"/>
      <c r="M119" s="186"/>
      <c r="N119" s="186"/>
      <c r="O119" s="187"/>
      <c r="P119" s="187"/>
      <c r="Q119" s="187"/>
      <c r="R119" s="187"/>
      <c r="S119" s="188"/>
      <c r="T119" s="189"/>
      <c r="U119" s="190"/>
    </row>
    <row r="120" spans="1:21" s="12" customFormat="1" ht="14.25" customHeight="1" thickBot="1">
      <c r="A120" s="75">
        <v>211</v>
      </c>
      <c r="B120" s="9" t="s">
        <v>354</v>
      </c>
      <c r="C120" s="93" t="s">
        <v>356</v>
      </c>
      <c r="D120" s="4" t="s">
        <v>357</v>
      </c>
      <c r="E120" s="2">
        <v>18.5</v>
      </c>
      <c r="F120" s="6" t="s">
        <v>159</v>
      </c>
      <c r="G120" s="8" t="s">
        <v>173</v>
      </c>
      <c r="H120" s="8" t="s">
        <v>174</v>
      </c>
      <c r="I120" s="8" t="s">
        <v>537</v>
      </c>
      <c r="J120" s="51" t="s">
        <v>307</v>
      </c>
      <c r="K120" s="51"/>
      <c r="L120" s="51"/>
      <c r="M120" s="51"/>
      <c r="N120" s="51"/>
      <c r="O120" s="38"/>
      <c r="P120" s="38"/>
      <c r="Q120" s="38"/>
      <c r="R120" s="38"/>
      <c r="S120" s="39"/>
      <c r="T120" s="37"/>
      <c r="U120" s="17"/>
    </row>
    <row r="121" spans="1:21" s="12" customFormat="1" ht="14.25" customHeight="1" thickBot="1">
      <c r="A121" s="75">
        <v>211</v>
      </c>
      <c r="B121" s="9" t="s">
        <v>354</v>
      </c>
      <c r="C121" s="93" t="s">
        <v>358</v>
      </c>
      <c r="D121" s="4" t="s">
        <v>359</v>
      </c>
      <c r="E121" s="1">
        <v>8.1999999999999993</v>
      </c>
      <c r="F121" s="14" t="s">
        <v>360</v>
      </c>
      <c r="G121" s="8" t="s">
        <v>173</v>
      </c>
      <c r="H121" s="8" t="s">
        <v>361</v>
      </c>
      <c r="I121" s="8">
        <v>2800</v>
      </c>
      <c r="J121" s="49" t="s">
        <v>190</v>
      </c>
      <c r="K121" s="49"/>
      <c r="L121" s="49"/>
      <c r="M121" s="49"/>
      <c r="N121" s="49"/>
      <c r="O121" s="38"/>
      <c r="P121" s="38"/>
      <c r="Q121" s="38"/>
      <c r="R121" s="38"/>
      <c r="S121" s="39"/>
      <c r="T121" s="37"/>
      <c r="U121" s="17"/>
    </row>
    <row r="122" spans="1:21" s="12" customFormat="1" ht="14.25" customHeight="1" thickBot="1">
      <c r="A122" s="75">
        <v>211</v>
      </c>
      <c r="B122" s="9" t="s">
        <v>354</v>
      </c>
      <c r="C122" s="93" t="s">
        <v>364</v>
      </c>
      <c r="D122" s="4" t="s">
        <v>366</v>
      </c>
      <c r="E122" s="1">
        <v>193</v>
      </c>
      <c r="F122" s="14" t="s">
        <v>360</v>
      </c>
      <c r="G122" s="8" t="s">
        <v>173</v>
      </c>
      <c r="H122" s="8" t="s">
        <v>361</v>
      </c>
      <c r="I122" s="8">
        <v>2800</v>
      </c>
      <c r="J122" s="49" t="s">
        <v>190</v>
      </c>
      <c r="K122" s="49"/>
      <c r="L122" s="49"/>
      <c r="M122" s="49"/>
      <c r="N122" s="49"/>
      <c r="O122" s="38"/>
      <c r="P122" s="38"/>
      <c r="Q122" s="38"/>
      <c r="R122" s="38"/>
      <c r="S122" s="39"/>
      <c r="T122" s="37"/>
      <c r="U122" s="17"/>
    </row>
    <row r="123" spans="1:21" s="12" customFormat="1" ht="14.25" customHeight="1" thickBot="1">
      <c r="A123" s="75">
        <v>211</v>
      </c>
      <c r="B123" s="9" t="s">
        <v>354</v>
      </c>
      <c r="C123" s="93" t="s">
        <v>362</v>
      </c>
      <c r="D123" s="244" t="s">
        <v>367</v>
      </c>
      <c r="E123" s="1">
        <v>5.8</v>
      </c>
      <c r="F123" s="14" t="s">
        <v>360</v>
      </c>
      <c r="G123" s="8" t="s">
        <v>309</v>
      </c>
      <c r="H123" s="8" t="s">
        <v>361</v>
      </c>
      <c r="I123" s="8">
        <v>2800</v>
      </c>
      <c r="J123" s="49" t="s">
        <v>190</v>
      </c>
      <c r="K123" s="49"/>
      <c r="L123" s="49"/>
      <c r="M123" s="49"/>
      <c r="N123" s="49"/>
      <c r="O123" s="38"/>
      <c r="P123" s="38"/>
      <c r="Q123" s="38"/>
      <c r="R123" s="38"/>
      <c r="S123" s="39"/>
      <c r="T123" s="37"/>
      <c r="U123" s="17"/>
    </row>
    <row r="124" spans="1:21" s="12" customFormat="1" ht="14.25" customHeight="1" thickBot="1">
      <c r="A124" s="75">
        <v>211</v>
      </c>
      <c r="B124" s="9" t="s">
        <v>354</v>
      </c>
      <c r="C124" s="93" t="s">
        <v>363</v>
      </c>
      <c r="D124" s="4" t="s">
        <v>368</v>
      </c>
      <c r="E124" s="1">
        <v>5.8</v>
      </c>
      <c r="F124" s="14" t="s">
        <v>360</v>
      </c>
      <c r="G124" s="8" t="s">
        <v>309</v>
      </c>
      <c r="H124" s="8" t="s">
        <v>361</v>
      </c>
      <c r="I124" s="8">
        <v>2800</v>
      </c>
      <c r="J124" s="49" t="s">
        <v>190</v>
      </c>
      <c r="K124" s="49"/>
      <c r="L124" s="49"/>
      <c r="M124" s="49"/>
      <c r="N124" s="49"/>
      <c r="O124" s="38"/>
      <c r="P124" s="38"/>
      <c r="Q124" s="38"/>
      <c r="R124" s="38"/>
      <c r="S124" s="39"/>
      <c r="T124" s="37"/>
      <c r="U124" s="17"/>
    </row>
    <row r="125" spans="1:21" s="12" customFormat="1" ht="14.25" customHeight="1" thickBot="1">
      <c r="A125" s="75">
        <v>211</v>
      </c>
      <c r="B125" s="9" t="s">
        <v>354</v>
      </c>
      <c r="C125" s="93" t="s">
        <v>365</v>
      </c>
      <c r="D125" s="4" t="s">
        <v>369</v>
      </c>
      <c r="E125" s="1">
        <v>9.4</v>
      </c>
      <c r="F125" s="14" t="s">
        <v>360</v>
      </c>
      <c r="G125" s="8" t="s">
        <v>309</v>
      </c>
      <c r="H125" s="8" t="s">
        <v>361</v>
      </c>
      <c r="I125" s="8">
        <v>2800</v>
      </c>
      <c r="J125" s="49" t="s">
        <v>190</v>
      </c>
      <c r="K125" s="49"/>
      <c r="L125" s="49"/>
      <c r="M125" s="49"/>
      <c r="N125" s="49"/>
      <c r="O125" s="38"/>
      <c r="P125" s="38"/>
      <c r="Q125" s="38"/>
      <c r="R125" s="38"/>
      <c r="S125" s="39"/>
      <c r="T125" s="37"/>
      <c r="U125" s="17"/>
    </row>
    <row r="126" spans="1:21" s="12" customFormat="1" ht="14.25" customHeight="1" thickBot="1">
      <c r="A126" s="75">
        <v>211</v>
      </c>
      <c r="B126" s="9" t="s">
        <v>354</v>
      </c>
      <c r="C126" s="93" t="s">
        <v>370</v>
      </c>
      <c r="D126" s="4" t="s">
        <v>285</v>
      </c>
      <c r="E126" s="1">
        <v>12.4</v>
      </c>
      <c r="F126" s="14" t="s">
        <v>360</v>
      </c>
      <c r="G126" s="8" t="s">
        <v>309</v>
      </c>
      <c r="H126" s="8" t="s">
        <v>361</v>
      </c>
      <c r="I126" s="8">
        <v>2800</v>
      </c>
      <c r="J126" s="49" t="s">
        <v>190</v>
      </c>
      <c r="K126" s="49"/>
      <c r="L126" s="49"/>
      <c r="M126" s="49"/>
      <c r="N126" s="49"/>
      <c r="O126" s="38"/>
      <c r="P126" s="38"/>
      <c r="Q126" s="38"/>
      <c r="R126" s="38"/>
      <c r="S126" s="39"/>
      <c r="T126" s="37"/>
      <c r="U126" s="17"/>
    </row>
    <row r="127" spans="1:21" s="12" customFormat="1" ht="14.25" customHeight="1" thickBot="1">
      <c r="A127" s="75">
        <v>211</v>
      </c>
      <c r="B127" s="9" t="s">
        <v>354</v>
      </c>
      <c r="C127" s="93" t="s">
        <v>371</v>
      </c>
      <c r="D127" s="4" t="s">
        <v>285</v>
      </c>
      <c r="E127" s="1">
        <v>12.4</v>
      </c>
      <c r="F127" s="14" t="s">
        <v>360</v>
      </c>
      <c r="G127" s="8" t="s">
        <v>309</v>
      </c>
      <c r="H127" s="8" t="s">
        <v>361</v>
      </c>
      <c r="I127" s="8">
        <v>2800</v>
      </c>
      <c r="J127" s="49" t="s">
        <v>190</v>
      </c>
      <c r="K127" s="49"/>
      <c r="L127" s="49"/>
      <c r="M127" s="49"/>
      <c r="N127" s="49"/>
      <c r="O127" s="38"/>
      <c r="P127" s="38"/>
      <c r="Q127" s="38"/>
      <c r="R127" s="38"/>
      <c r="S127" s="39"/>
      <c r="T127" s="37"/>
      <c r="U127" s="17"/>
    </row>
    <row r="128" spans="1:21" s="12" customFormat="1" ht="14.25" customHeight="1" thickBot="1">
      <c r="A128" s="75">
        <v>211</v>
      </c>
      <c r="B128" s="9" t="s">
        <v>354</v>
      </c>
      <c r="C128" s="93" t="s">
        <v>372</v>
      </c>
      <c r="D128" s="4" t="s">
        <v>285</v>
      </c>
      <c r="E128" s="1">
        <v>12.4</v>
      </c>
      <c r="F128" s="14" t="s">
        <v>360</v>
      </c>
      <c r="G128" s="8" t="s">
        <v>309</v>
      </c>
      <c r="H128" s="8" t="s">
        <v>361</v>
      </c>
      <c r="I128" s="8">
        <v>2800</v>
      </c>
      <c r="J128" s="49" t="s">
        <v>190</v>
      </c>
      <c r="K128" s="49"/>
      <c r="L128" s="49"/>
      <c r="M128" s="49"/>
      <c r="N128" s="49"/>
      <c r="O128" s="38"/>
      <c r="P128" s="38"/>
      <c r="Q128" s="38"/>
      <c r="R128" s="38"/>
      <c r="S128" s="39"/>
      <c r="T128" s="37"/>
      <c r="U128" s="17"/>
    </row>
    <row r="129" spans="1:21" s="12" customFormat="1" ht="14.25" customHeight="1" thickBot="1">
      <c r="A129" s="75">
        <v>211</v>
      </c>
      <c r="B129" s="9" t="s">
        <v>42</v>
      </c>
      <c r="C129" s="93" t="s">
        <v>45</v>
      </c>
      <c r="D129" s="4" t="s">
        <v>46</v>
      </c>
      <c r="E129" s="2">
        <v>8.3000000000000007</v>
      </c>
      <c r="F129" s="14" t="s">
        <v>59</v>
      </c>
      <c r="G129" s="8" t="s">
        <v>60</v>
      </c>
      <c r="H129" s="8" t="s">
        <v>66</v>
      </c>
      <c r="I129" s="8">
        <v>3000</v>
      </c>
      <c r="J129" s="47" t="s">
        <v>70</v>
      </c>
      <c r="K129" s="71"/>
      <c r="L129" s="71"/>
      <c r="M129" s="71"/>
      <c r="N129" s="71"/>
      <c r="O129" s="38"/>
      <c r="P129" s="63"/>
      <c r="Q129" s="38"/>
      <c r="R129" s="38"/>
      <c r="S129" s="39"/>
      <c r="T129" s="37"/>
      <c r="U129" s="17"/>
    </row>
    <row r="130" spans="1:21" s="12" customFormat="1" ht="14.25" customHeight="1" thickBot="1">
      <c r="A130" s="75">
        <v>211</v>
      </c>
      <c r="B130" s="9" t="s">
        <v>42</v>
      </c>
      <c r="C130" s="93" t="s">
        <v>44</v>
      </c>
      <c r="D130" s="4" t="s">
        <v>49</v>
      </c>
      <c r="E130" s="2">
        <v>7.6</v>
      </c>
      <c r="F130" s="14" t="s">
        <v>59</v>
      </c>
      <c r="G130" s="8" t="s">
        <v>1128</v>
      </c>
      <c r="H130" s="8" t="s">
        <v>66</v>
      </c>
      <c r="I130" s="8">
        <v>2800</v>
      </c>
      <c r="J130" s="47" t="s">
        <v>70</v>
      </c>
      <c r="K130" s="71"/>
      <c r="L130" s="71"/>
      <c r="M130" s="71"/>
      <c r="N130" s="71"/>
      <c r="O130" s="38"/>
      <c r="P130" s="63"/>
      <c r="Q130" s="38"/>
      <c r="R130" s="38"/>
      <c r="S130" s="39"/>
      <c r="T130" s="37"/>
      <c r="U130" s="17"/>
    </row>
    <row r="131" spans="1:21" s="12" customFormat="1" ht="14.25" customHeight="1" thickBot="1">
      <c r="A131" s="75">
        <v>211</v>
      </c>
      <c r="B131" s="9" t="s">
        <v>42</v>
      </c>
      <c r="C131" s="93" t="s">
        <v>43</v>
      </c>
      <c r="D131" s="4" t="s">
        <v>48</v>
      </c>
      <c r="E131" s="2">
        <v>16.5</v>
      </c>
      <c r="F131" s="14" t="s">
        <v>59</v>
      </c>
      <c r="G131" s="8" t="s">
        <v>72</v>
      </c>
      <c r="H131" s="8" t="s">
        <v>66</v>
      </c>
      <c r="I131" s="8">
        <v>2800</v>
      </c>
      <c r="J131" s="47" t="s">
        <v>70</v>
      </c>
      <c r="K131" s="71"/>
      <c r="L131" s="71"/>
      <c r="M131" s="71"/>
      <c r="N131" s="71"/>
      <c r="O131" s="38"/>
      <c r="P131" s="63"/>
      <c r="Q131" s="38"/>
      <c r="R131" s="38"/>
      <c r="S131" s="39"/>
      <c r="T131" s="37"/>
      <c r="U131" s="17"/>
    </row>
    <row r="132" spans="1:21" s="12" customFormat="1" ht="14.25" customHeight="1" thickBot="1">
      <c r="A132" s="75">
        <v>211</v>
      </c>
      <c r="B132" s="9" t="s">
        <v>354</v>
      </c>
      <c r="C132" s="93" t="s">
        <v>373</v>
      </c>
      <c r="D132" s="4" t="s">
        <v>48</v>
      </c>
      <c r="E132" s="1">
        <v>16.5</v>
      </c>
      <c r="F132" s="14" t="s">
        <v>360</v>
      </c>
      <c r="G132" s="8" t="s">
        <v>309</v>
      </c>
      <c r="H132" s="8" t="s">
        <v>361</v>
      </c>
      <c r="I132" s="8">
        <v>2800</v>
      </c>
      <c r="J132" s="49" t="s">
        <v>190</v>
      </c>
      <c r="K132" s="49"/>
      <c r="L132" s="49"/>
      <c r="M132" s="49"/>
      <c r="N132" s="49"/>
      <c r="O132" s="38"/>
      <c r="P132" s="38"/>
      <c r="Q132" s="38"/>
      <c r="R132" s="38"/>
      <c r="S132" s="39"/>
      <c r="T132" s="37"/>
      <c r="U132" s="17"/>
    </row>
    <row r="133" spans="1:21" s="12" customFormat="1" ht="14.25" customHeight="1" thickBot="1">
      <c r="A133" s="75">
        <v>211</v>
      </c>
      <c r="B133" s="9" t="s">
        <v>354</v>
      </c>
      <c r="C133" s="93" t="s">
        <v>374</v>
      </c>
      <c r="D133" s="4" t="s">
        <v>366</v>
      </c>
      <c r="E133" s="1">
        <v>260.10000000000002</v>
      </c>
      <c r="F133" s="14" t="s">
        <v>360</v>
      </c>
      <c r="G133" s="8" t="s">
        <v>173</v>
      </c>
      <c r="H133" s="8" t="s">
        <v>361</v>
      </c>
      <c r="I133" s="8">
        <v>2800</v>
      </c>
      <c r="J133" s="49" t="s">
        <v>190</v>
      </c>
      <c r="K133" s="49"/>
      <c r="L133" s="49"/>
      <c r="M133" s="49"/>
      <c r="N133" s="49"/>
      <c r="O133" s="38"/>
      <c r="P133" s="38"/>
      <c r="Q133" s="38"/>
      <c r="R133" s="38"/>
      <c r="S133" s="39"/>
      <c r="T133" s="37"/>
      <c r="U133" s="17"/>
    </row>
    <row r="134" spans="1:21" s="12" customFormat="1" ht="14.25" customHeight="1" thickBot="1">
      <c r="A134" s="75">
        <v>211</v>
      </c>
      <c r="B134" s="9" t="s">
        <v>354</v>
      </c>
      <c r="C134" s="93" t="s">
        <v>375</v>
      </c>
      <c r="D134" s="4" t="s">
        <v>377</v>
      </c>
      <c r="E134" s="1">
        <v>17.5</v>
      </c>
      <c r="F134" s="14" t="s">
        <v>360</v>
      </c>
      <c r="G134" s="8" t="s">
        <v>309</v>
      </c>
      <c r="H134" s="8" t="s">
        <v>361</v>
      </c>
      <c r="I134" s="8">
        <v>2800</v>
      </c>
      <c r="J134" s="49" t="s">
        <v>190</v>
      </c>
      <c r="K134" s="49"/>
      <c r="L134" s="49"/>
      <c r="M134" s="49"/>
      <c r="N134" s="49"/>
      <c r="O134" s="38"/>
      <c r="P134" s="38"/>
      <c r="Q134" s="38"/>
      <c r="R134" s="38"/>
      <c r="S134" s="39"/>
      <c r="T134" s="37"/>
      <c r="U134" s="17"/>
    </row>
    <row r="135" spans="1:21" s="12" customFormat="1" ht="14.25" customHeight="1" thickBot="1">
      <c r="A135" s="75">
        <v>211</v>
      </c>
      <c r="B135" s="9" t="s">
        <v>354</v>
      </c>
      <c r="C135" s="93" t="s">
        <v>376</v>
      </c>
      <c r="D135" s="4" t="s">
        <v>285</v>
      </c>
      <c r="E135" s="1">
        <v>12.4</v>
      </c>
      <c r="F135" s="14" t="s">
        <v>360</v>
      </c>
      <c r="G135" s="8" t="s">
        <v>309</v>
      </c>
      <c r="H135" s="8" t="s">
        <v>361</v>
      </c>
      <c r="I135" s="8">
        <v>2800</v>
      </c>
      <c r="J135" s="49" t="s">
        <v>190</v>
      </c>
      <c r="K135" s="49"/>
      <c r="L135" s="49"/>
      <c r="M135" s="49"/>
      <c r="N135" s="49"/>
      <c r="O135" s="38"/>
      <c r="P135" s="38"/>
      <c r="Q135" s="38"/>
      <c r="R135" s="38"/>
      <c r="S135" s="39"/>
      <c r="T135" s="37"/>
      <c r="U135" s="17"/>
    </row>
    <row r="136" spans="1:21" s="167" customFormat="1" ht="14.25" customHeight="1" thickBot="1">
      <c r="A136" s="46">
        <v>211</v>
      </c>
      <c r="B136" s="164" t="s">
        <v>354</v>
      </c>
      <c r="C136" s="165" t="s">
        <v>378</v>
      </c>
      <c r="D136" s="248" t="s">
        <v>937</v>
      </c>
      <c r="E136" s="30">
        <v>25.2</v>
      </c>
      <c r="F136" s="31" t="s">
        <v>360</v>
      </c>
      <c r="G136" s="38" t="s">
        <v>309</v>
      </c>
      <c r="H136" s="38" t="s">
        <v>361</v>
      </c>
      <c r="I136" s="38">
        <v>2800</v>
      </c>
      <c r="J136" s="49" t="s">
        <v>190</v>
      </c>
      <c r="K136" s="49"/>
      <c r="L136" s="49"/>
      <c r="M136" s="49"/>
      <c r="N136" s="49"/>
      <c r="O136" s="38"/>
      <c r="P136" s="38"/>
      <c r="Q136" s="38"/>
      <c r="R136" s="38"/>
      <c r="S136" s="39"/>
      <c r="T136" s="37"/>
      <c r="U136" s="166"/>
    </row>
    <row r="137" spans="1:21" s="12" customFormat="1" ht="14.25" customHeight="1" thickBot="1">
      <c r="A137" s="75">
        <v>211</v>
      </c>
      <c r="B137" s="9" t="s">
        <v>354</v>
      </c>
      <c r="C137" s="93" t="s">
        <v>379</v>
      </c>
      <c r="D137" s="4" t="s">
        <v>393</v>
      </c>
      <c r="E137" s="1">
        <v>12.2</v>
      </c>
      <c r="F137" s="14" t="s">
        <v>360</v>
      </c>
      <c r="G137" s="8" t="s">
        <v>309</v>
      </c>
      <c r="H137" s="8" t="s">
        <v>361</v>
      </c>
      <c r="I137" s="8">
        <v>2800</v>
      </c>
      <c r="J137" s="49" t="s">
        <v>190</v>
      </c>
      <c r="K137" s="49"/>
      <c r="L137" s="49"/>
      <c r="M137" s="49"/>
      <c r="N137" s="49"/>
      <c r="O137" s="38"/>
      <c r="P137" s="38"/>
      <c r="Q137" s="38"/>
      <c r="R137" s="38"/>
      <c r="S137" s="39"/>
      <c r="T137" s="37"/>
      <c r="U137" s="17"/>
    </row>
    <row r="138" spans="1:21" s="12" customFormat="1" ht="14.25" customHeight="1" thickBot="1">
      <c r="A138" s="75">
        <v>211</v>
      </c>
      <c r="B138" s="9" t="s">
        <v>354</v>
      </c>
      <c r="C138" s="93" t="s">
        <v>380</v>
      </c>
      <c r="D138" s="4" t="s">
        <v>394</v>
      </c>
      <c r="E138" s="1">
        <v>8.5</v>
      </c>
      <c r="F138" s="14" t="s">
        <v>360</v>
      </c>
      <c r="G138" s="8" t="s">
        <v>173</v>
      </c>
      <c r="H138" s="8" t="s">
        <v>361</v>
      </c>
      <c r="I138" s="8">
        <v>2800</v>
      </c>
      <c r="J138" s="49" t="s">
        <v>190</v>
      </c>
      <c r="K138" s="49"/>
      <c r="L138" s="49"/>
      <c r="M138" s="49"/>
      <c r="N138" s="49"/>
      <c r="O138" s="38"/>
      <c r="P138" s="38"/>
      <c r="Q138" s="38"/>
      <c r="R138" s="38"/>
      <c r="S138" s="39"/>
      <c r="T138" s="37"/>
      <c r="U138" s="17"/>
    </row>
    <row r="139" spans="1:21" s="12" customFormat="1" ht="14.25" customHeight="1" thickBot="1">
      <c r="A139" s="75">
        <v>211</v>
      </c>
      <c r="B139" s="9" t="s">
        <v>354</v>
      </c>
      <c r="C139" s="93" t="s">
        <v>381</v>
      </c>
      <c r="D139" s="4" t="s">
        <v>395</v>
      </c>
      <c r="E139" s="1">
        <v>5.9</v>
      </c>
      <c r="F139" s="14" t="s">
        <v>360</v>
      </c>
      <c r="G139" s="8" t="s">
        <v>309</v>
      </c>
      <c r="H139" s="8" t="s">
        <v>361</v>
      </c>
      <c r="I139" s="8">
        <v>2800</v>
      </c>
      <c r="J139" s="49" t="s">
        <v>190</v>
      </c>
      <c r="K139" s="49"/>
      <c r="L139" s="49"/>
      <c r="M139" s="49"/>
      <c r="N139" s="49"/>
      <c r="O139" s="38"/>
      <c r="P139" s="38"/>
      <c r="Q139" s="38"/>
      <c r="R139" s="38"/>
      <c r="S139" s="39"/>
      <c r="T139" s="37"/>
      <c r="U139" s="17"/>
    </row>
    <row r="140" spans="1:21" s="12" customFormat="1" ht="14.25" customHeight="1" thickBot="1">
      <c r="A140" s="75">
        <v>211</v>
      </c>
      <c r="B140" s="9" t="s">
        <v>354</v>
      </c>
      <c r="C140" s="93" t="s">
        <v>382</v>
      </c>
      <c r="D140" s="4" t="s">
        <v>396</v>
      </c>
      <c r="E140" s="1">
        <v>5.8</v>
      </c>
      <c r="F140" s="14" t="s">
        <v>360</v>
      </c>
      <c r="G140" s="8" t="s">
        <v>309</v>
      </c>
      <c r="H140" s="8" t="s">
        <v>361</v>
      </c>
      <c r="I140" s="8">
        <v>2800</v>
      </c>
      <c r="J140" s="49" t="s">
        <v>190</v>
      </c>
      <c r="K140" s="49"/>
      <c r="L140" s="49"/>
      <c r="M140" s="49"/>
      <c r="N140" s="49"/>
      <c r="O140" s="38"/>
      <c r="P140" s="38"/>
      <c r="Q140" s="38"/>
      <c r="R140" s="38"/>
      <c r="S140" s="39"/>
      <c r="T140" s="37"/>
      <c r="U140" s="17"/>
    </row>
    <row r="141" spans="1:21" s="12" customFormat="1" ht="14.25" customHeight="1" thickBot="1">
      <c r="A141" s="75">
        <v>211</v>
      </c>
      <c r="B141" s="9" t="s">
        <v>354</v>
      </c>
      <c r="C141" s="93" t="s">
        <v>383</v>
      </c>
      <c r="D141" s="4" t="s">
        <v>359</v>
      </c>
      <c r="E141" s="1">
        <v>9.4</v>
      </c>
      <c r="F141" s="14" t="s">
        <v>360</v>
      </c>
      <c r="G141" s="8" t="s">
        <v>173</v>
      </c>
      <c r="H141" s="8" t="s">
        <v>361</v>
      </c>
      <c r="I141" s="8">
        <v>2800</v>
      </c>
      <c r="J141" s="49" t="s">
        <v>190</v>
      </c>
      <c r="K141" s="49"/>
      <c r="L141" s="49"/>
      <c r="M141" s="49"/>
      <c r="N141" s="49"/>
      <c r="O141" s="38"/>
      <c r="P141" s="38"/>
      <c r="Q141" s="38"/>
      <c r="R141" s="38"/>
      <c r="S141" s="39"/>
      <c r="T141" s="37"/>
      <c r="U141" s="17"/>
    </row>
    <row r="142" spans="1:21" s="12" customFormat="1" ht="14.25" customHeight="1" thickBot="1">
      <c r="A142" s="75">
        <v>211</v>
      </c>
      <c r="B142" s="9" t="s">
        <v>354</v>
      </c>
      <c r="C142" s="93" t="s">
        <v>384</v>
      </c>
      <c r="D142" s="4" t="s">
        <v>366</v>
      </c>
      <c r="E142" s="1">
        <v>251</v>
      </c>
      <c r="F142" s="14" t="s">
        <v>360</v>
      </c>
      <c r="G142" s="8" t="s">
        <v>173</v>
      </c>
      <c r="H142" s="8" t="s">
        <v>361</v>
      </c>
      <c r="I142" s="8">
        <v>2800</v>
      </c>
      <c r="J142" s="49" t="s">
        <v>190</v>
      </c>
      <c r="K142" s="49"/>
      <c r="L142" s="49"/>
      <c r="M142" s="49"/>
      <c r="N142" s="49"/>
      <c r="O142" s="38"/>
      <c r="P142" s="38"/>
      <c r="Q142" s="38"/>
      <c r="R142" s="38"/>
      <c r="S142" s="39"/>
      <c r="T142" s="37"/>
      <c r="U142" s="17"/>
    </row>
    <row r="143" spans="1:21" s="12" customFormat="1" ht="14.25" customHeight="1" thickBot="1">
      <c r="A143" s="75">
        <v>211</v>
      </c>
      <c r="B143" s="9" t="s">
        <v>354</v>
      </c>
      <c r="C143" s="93" t="s">
        <v>385</v>
      </c>
      <c r="D143" s="4" t="s">
        <v>397</v>
      </c>
      <c r="E143" s="1">
        <v>17.2</v>
      </c>
      <c r="F143" s="14" t="s">
        <v>360</v>
      </c>
      <c r="G143" s="8" t="s">
        <v>309</v>
      </c>
      <c r="H143" s="8" t="s">
        <v>361</v>
      </c>
      <c r="I143" s="8">
        <v>2800</v>
      </c>
      <c r="J143" s="49" t="s">
        <v>190</v>
      </c>
      <c r="L143" s="49"/>
      <c r="M143" s="49"/>
      <c r="N143" s="49"/>
      <c r="O143" s="38"/>
      <c r="P143" s="38"/>
      <c r="Q143" s="38"/>
      <c r="R143" s="38"/>
      <c r="S143" s="39"/>
      <c r="T143" s="37"/>
      <c r="U143" s="17"/>
    </row>
    <row r="144" spans="1:21" s="12" customFormat="1" ht="14.25" customHeight="1" thickBot="1">
      <c r="A144" s="75">
        <v>211</v>
      </c>
      <c r="B144" s="9" t="s">
        <v>354</v>
      </c>
      <c r="C144" s="93" t="s">
        <v>386</v>
      </c>
      <c r="D144" s="4" t="s">
        <v>398</v>
      </c>
      <c r="E144" s="1">
        <v>17.2</v>
      </c>
      <c r="F144" s="14" t="s">
        <v>360</v>
      </c>
      <c r="G144" s="8" t="s">
        <v>399</v>
      </c>
      <c r="H144" s="8" t="s">
        <v>361</v>
      </c>
      <c r="I144" s="8">
        <v>2800</v>
      </c>
      <c r="J144" s="49" t="s">
        <v>190</v>
      </c>
      <c r="K144" s="49"/>
      <c r="L144" s="49"/>
      <c r="M144" s="49"/>
      <c r="N144" s="49"/>
      <c r="O144" s="38"/>
      <c r="P144" s="38"/>
      <c r="Q144" s="38"/>
      <c r="R144" s="38"/>
      <c r="S144" s="39"/>
      <c r="T144" s="37"/>
      <c r="U144" s="17"/>
    </row>
    <row r="145" spans="1:21" s="12" customFormat="1" ht="14.25" customHeight="1" thickBot="1">
      <c r="A145" s="75">
        <v>211</v>
      </c>
      <c r="B145" s="9" t="s">
        <v>354</v>
      </c>
      <c r="C145" s="93" t="s">
        <v>387</v>
      </c>
      <c r="D145" s="4" t="s">
        <v>400</v>
      </c>
      <c r="E145" s="1">
        <v>8.5</v>
      </c>
      <c r="F145" s="14" t="s">
        <v>360</v>
      </c>
      <c r="G145" s="8" t="s">
        <v>309</v>
      </c>
      <c r="H145" s="8" t="s">
        <v>361</v>
      </c>
      <c r="I145" s="8">
        <v>2800</v>
      </c>
      <c r="J145" s="49" t="s">
        <v>190</v>
      </c>
      <c r="K145" s="49"/>
      <c r="L145" s="49"/>
      <c r="M145" s="49"/>
      <c r="N145" s="49"/>
      <c r="O145" s="38"/>
      <c r="P145" s="38"/>
      <c r="Q145" s="38"/>
      <c r="R145" s="38"/>
      <c r="S145" s="39"/>
      <c r="T145" s="37"/>
      <c r="U145" s="17"/>
    </row>
    <row r="146" spans="1:21" s="12" customFormat="1" ht="14.25" customHeight="1" thickBot="1">
      <c r="A146" s="75">
        <v>211</v>
      </c>
      <c r="B146" s="9" t="s">
        <v>354</v>
      </c>
      <c r="C146" s="93" t="s">
        <v>388</v>
      </c>
      <c r="D146" s="4" t="s">
        <v>311</v>
      </c>
      <c r="E146" s="1">
        <v>5.8</v>
      </c>
      <c r="F146" s="14" t="s">
        <v>360</v>
      </c>
      <c r="G146" s="8" t="s">
        <v>309</v>
      </c>
      <c r="H146" s="8" t="s">
        <v>361</v>
      </c>
      <c r="I146" s="8">
        <v>2800</v>
      </c>
      <c r="J146" s="49" t="s">
        <v>190</v>
      </c>
      <c r="K146" s="49"/>
      <c r="L146" s="49"/>
      <c r="M146" s="49"/>
      <c r="N146" s="49"/>
      <c r="O146" s="38"/>
      <c r="P146" s="38"/>
      <c r="Q146" s="38"/>
      <c r="R146" s="38"/>
      <c r="S146" s="39"/>
      <c r="T146" s="37"/>
      <c r="U146" s="17"/>
    </row>
    <row r="147" spans="1:21" s="12" customFormat="1" ht="14.25" customHeight="1" thickBot="1">
      <c r="A147" s="75">
        <v>211</v>
      </c>
      <c r="B147" s="9" t="s">
        <v>354</v>
      </c>
      <c r="C147" s="93" t="s">
        <v>389</v>
      </c>
      <c r="D147" s="4" t="s">
        <v>368</v>
      </c>
      <c r="E147" s="1">
        <v>5.9</v>
      </c>
      <c r="F147" s="14" t="s">
        <v>360</v>
      </c>
      <c r="G147" s="8" t="s">
        <v>309</v>
      </c>
      <c r="H147" s="8" t="s">
        <v>361</v>
      </c>
      <c r="I147" s="8">
        <v>2800</v>
      </c>
      <c r="J147" s="49" t="s">
        <v>190</v>
      </c>
      <c r="K147" s="49"/>
      <c r="L147" s="49"/>
      <c r="M147" s="49"/>
      <c r="N147" s="49"/>
      <c r="O147" s="38"/>
      <c r="P147" s="38"/>
      <c r="Q147" s="38"/>
      <c r="R147" s="38"/>
      <c r="S147" s="39"/>
      <c r="T147" s="37"/>
      <c r="U147" s="17"/>
    </row>
    <row r="148" spans="1:21" s="12" customFormat="1" ht="14.25" customHeight="1" thickBot="1">
      <c r="A148" s="75">
        <v>211</v>
      </c>
      <c r="B148" s="9" t="s">
        <v>354</v>
      </c>
      <c r="C148" s="93" t="s">
        <v>390</v>
      </c>
      <c r="D148" s="4" t="s">
        <v>401</v>
      </c>
      <c r="E148" s="1">
        <v>9.6</v>
      </c>
      <c r="F148" s="14" t="s">
        <v>360</v>
      </c>
      <c r="G148" s="8" t="s">
        <v>309</v>
      </c>
      <c r="H148" s="8" t="s">
        <v>361</v>
      </c>
      <c r="I148" s="8">
        <v>2800</v>
      </c>
      <c r="J148" s="49" t="s">
        <v>190</v>
      </c>
      <c r="K148" s="49"/>
      <c r="L148" s="49"/>
      <c r="M148" s="49"/>
      <c r="N148" s="49"/>
      <c r="O148" s="38"/>
      <c r="P148" s="38"/>
      <c r="Q148" s="38"/>
      <c r="R148" s="38"/>
      <c r="S148" s="39"/>
      <c r="T148" s="37"/>
      <c r="U148" s="17"/>
    </row>
    <row r="149" spans="1:21" s="12" customFormat="1" ht="14.25" customHeight="1" thickBot="1">
      <c r="A149" s="75">
        <v>211</v>
      </c>
      <c r="B149" s="9" t="s">
        <v>354</v>
      </c>
      <c r="C149" s="93" t="s">
        <v>391</v>
      </c>
      <c r="D149" s="244" t="s">
        <v>402</v>
      </c>
      <c r="E149" s="1">
        <v>222.2</v>
      </c>
      <c r="F149" s="14" t="s">
        <v>360</v>
      </c>
      <c r="G149" s="8" t="s">
        <v>173</v>
      </c>
      <c r="H149" s="8" t="s">
        <v>361</v>
      </c>
      <c r="I149" s="8">
        <v>2800</v>
      </c>
      <c r="J149" s="49" t="s">
        <v>190</v>
      </c>
      <c r="K149" s="49"/>
      <c r="L149" s="49"/>
      <c r="M149" s="49"/>
      <c r="N149" s="49"/>
      <c r="O149" s="38"/>
      <c r="P149" s="38"/>
      <c r="Q149" s="38"/>
      <c r="R149" s="38"/>
      <c r="S149" s="39"/>
      <c r="T149" s="37"/>
      <c r="U149" s="17"/>
    </row>
    <row r="150" spans="1:21" s="12" customFormat="1" ht="14.25" customHeight="1" thickBot="1">
      <c r="A150" s="75">
        <v>211</v>
      </c>
      <c r="B150" s="9" t="s">
        <v>354</v>
      </c>
      <c r="C150" s="93" t="s">
        <v>392</v>
      </c>
      <c r="D150" s="244" t="s">
        <v>403</v>
      </c>
      <c r="E150" s="1">
        <v>13.2</v>
      </c>
      <c r="F150" s="14" t="s">
        <v>360</v>
      </c>
      <c r="G150" s="8" t="s">
        <v>309</v>
      </c>
      <c r="H150" s="8" t="s">
        <v>361</v>
      </c>
      <c r="I150" s="8">
        <v>2800</v>
      </c>
      <c r="J150" s="49" t="s">
        <v>190</v>
      </c>
      <c r="K150" s="49"/>
      <c r="L150" s="49"/>
      <c r="M150" s="49"/>
      <c r="N150" s="49"/>
      <c r="O150" s="38"/>
      <c r="P150" s="38"/>
      <c r="Q150" s="38"/>
      <c r="R150" s="38"/>
      <c r="S150" s="39"/>
      <c r="T150" s="37"/>
      <c r="U150" s="17"/>
    </row>
    <row r="151" spans="1:21" s="12" customFormat="1" ht="14.25" customHeight="1" thickBot="1">
      <c r="A151" s="75">
        <v>211</v>
      </c>
      <c r="B151" s="9" t="s">
        <v>354</v>
      </c>
      <c r="C151" s="93" t="s">
        <v>404</v>
      </c>
      <c r="D151" s="4" t="s">
        <v>406</v>
      </c>
      <c r="E151" s="1">
        <v>13.2</v>
      </c>
      <c r="F151" s="14" t="s">
        <v>360</v>
      </c>
      <c r="G151" s="8" t="s">
        <v>309</v>
      </c>
      <c r="H151" s="8" t="s">
        <v>185</v>
      </c>
      <c r="I151" s="8">
        <v>2800</v>
      </c>
      <c r="J151" s="49" t="s">
        <v>190</v>
      </c>
      <c r="K151" s="49"/>
      <c r="L151" s="49"/>
      <c r="M151" s="49"/>
      <c r="N151" s="49"/>
      <c r="O151" s="38"/>
      <c r="P151" s="38"/>
      <c r="Q151" s="38"/>
      <c r="R151" s="38"/>
      <c r="S151" s="39"/>
      <c r="T151" s="37"/>
      <c r="U151" s="17"/>
    </row>
    <row r="152" spans="1:21" s="12" customFormat="1" ht="14.25" customHeight="1" thickBot="1">
      <c r="A152" s="75">
        <v>211</v>
      </c>
      <c r="B152" s="9" t="s">
        <v>354</v>
      </c>
      <c r="C152" s="93" t="s">
        <v>405</v>
      </c>
      <c r="D152" s="4" t="s">
        <v>406</v>
      </c>
      <c r="E152" s="2">
        <v>12.4</v>
      </c>
      <c r="F152" s="14" t="s">
        <v>360</v>
      </c>
      <c r="G152" s="8" t="s">
        <v>309</v>
      </c>
      <c r="H152" s="8" t="s">
        <v>185</v>
      </c>
      <c r="I152" s="8">
        <v>2800</v>
      </c>
      <c r="J152" s="49" t="s">
        <v>190</v>
      </c>
      <c r="K152" s="49"/>
      <c r="L152" s="49"/>
      <c r="M152" s="49"/>
      <c r="N152" s="49"/>
      <c r="O152" s="38"/>
      <c r="P152" s="38"/>
      <c r="Q152" s="38"/>
      <c r="R152" s="38"/>
      <c r="S152" s="39"/>
      <c r="T152" s="37"/>
      <c r="U152" s="17"/>
    </row>
    <row r="153" spans="1:21" s="12" customFormat="1" ht="14.25" customHeight="1" thickBot="1">
      <c r="A153" s="75">
        <v>211</v>
      </c>
      <c r="B153" s="9" t="s">
        <v>354</v>
      </c>
      <c r="C153" s="93" t="s">
        <v>407</v>
      </c>
      <c r="D153" s="4" t="s">
        <v>408</v>
      </c>
      <c r="E153" s="2">
        <v>12.4</v>
      </c>
      <c r="F153" s="14" t="s">
        <v>360</v>
      </c>
      <c r="G153" s="8" t="s">
        <v>309</v>
      </c>
      <c r="H153" s="8" t="s">
        <v>185</v>
      </c>
      <c r="I153" s="8">
        <v>2800</v>
      </c>
      <c r="J153" s="49" t="s">
        <v>190</v>
      </c>
      <c r="K153" s="49"/>
      <c r="L153" s="49"/>
      <c r="M153" s="49"/>
      <c r="N153" s="49"/>
      <c r="O153" s="38"/>
      <c r="P153" s="38"/>
      <c r="Q153" s="38"/>
      <c r="R153" s="38"/>
      <c r="S153" s="39"/>
      <c r="T153" s="37"/>
      <c r="U153" s="17"/>
    </row>
    <row r="154" spans="1:21" s="12" customFormat="1" ht="14.25" customHeight="1" thickBot="1">
      <c r="A154" s="75">
        <v>211</v>
      </c>
      <c r="B154" s="9" t="s">
        <v>354</v>
      </c>
      <c r="C154" s="93" t="s">
        <v>409</v>
      </c>
      <c r="D154" s="4" t="s">
        <v>416</v>
      </c>
      <c r="E154" s="2">
        <v>12.4</v>
      </c>
      <c r="F154" s="14" t="s">
        <v>360</v>
      </c>
      <c r="G154" s="8" t="s">
        <v>309</v>
      </c>
      <c r="H154" s="8" t="s">
        <v>185</v>
      </c>
      <c r="I154" s="8">
        <v>2800</v>
      </c>
      <c r="J154" s="49" t="s">
        <v>190</v>
      </c>
      <c r="K154" s="49"/>
      <c r="L154" s="49"/>
      <c r="M154" s="49"/>
      <c r="N154" s="49"/>
      <c r="O154" s="38"/>
      <c r="P154" s="38"/>
      <c r="Q154" s="38"/>
      <c r="R154" s="38"/>
      <c r="S154" s="39"/>
      <c r="T154" s="37"/>
      <c r="U154" s="17"/>
    </row>
    <row r="155" spans="1:21" s="12" customFormat="1" ht="14.25" customHeight="1" thickBot="1">
      <c r="A155" s="75">
        <v>211</v>
      </c>
      <c r="B155" s="9" t="s">
        <v>354</v>
      </c>
      <c r="C155" s="93" t="s">
        <v>410</v>
      </c>
      <c r="D155" s="4" t="s">
        <v>377</v>
      </c>
      <c r="E155" s="2">
        <v>12.4</v>
      </c>
      <c r="F155" s="14" t="s">
        <v>360</v>
      </c>
      <c r="G155" s="8" t="s">
        <v>309</v>
      </c>
      <c r="H155" s="8" t="s">
        <v>185</v>
      </c>
      <c r="I155" s="8">
        <v>2800</v>
      </c>
      <c r="J155" s="49" t="s">
        <v>190</v>
      </c>
      <c r="K155" s="49"/>
      <c r="L155" s="49"/>
      <c r="M155" s="49"/>
      <c r="N155" s="49"/>
      <c r="O155" s="38"/>
      <c r="P155" s="38"/>
      <c r="Q155" s="38"/>
      <c r="R155" s="38"/>
      <c r="S155" s="39"/>
      <c r="T155" s="37"/>
      <c r="U155" s="17"/>
    </row>
    <row r="156" spans="1:21" s="12" customFormat="1" ht="14.25" customHeight="1" thickBot="1">
      <c r="A156" s="75">
        <v>211</v>
      </c>
      <c r="B156" s="9" t="s">
        <v>354</v>
      </c>
      <c r="C156" s="93" t="s">
        <v>411</v>
      </c>
      <c r="D156" s="4" t="s">
        <v>406</v>
      </c>
      <c r="E156" s="2">
        <v>12.4</v>
      </c>
      <c r="F156" s="14" t="s">
        <v>360</v>
      </c>
      <c r="G156" s="8" t="s">
        <v>309</v>
      </c>
      <c r="H156" s="8" t="s">
        <v>185</v>
      </c>
      <c r="I156" s="8">
        <v>2800</v>
      </c>
      <c r="J156" s="49" t="s">
        <v>190</v>
      </c>
      <c r="K156" s="49"/>
      <c r="L156" s="49"/>
      <c r="M156" s="49"/>
      <c r="N156" s="49"/>
      <c r="O156" s="38"/>
      <c r="P156" s="38"/>
      <c r="Q156" s="38"/>
      <c r="R156" s="38"/>
      <c r="S156" s="39"/>
      <c r="T156" s="37"/>
      <c r="U156" s="17"/>
    </row>
    <row r="157" spans="1:21" s="12" customFormat="1" ht="14.25" customHeight="1" thickBot="1">
      <c r="A157" s="75">
        <v>211</v>
      </c>
      <c r="B157" s="9" t="s">
        <v>354</v>
      </c>
      <c r="C157" s="93" t="s">
        <v>412</v>
      </c>
      <c r="D157" s="4" t="s">
        <v>445</v>
      </c>
      <c r="E157" s="2">
        <v>12.4</v>
      </c>
      <c r="F157" s="14" t="s">
        <v>360</v>
      </c>
      <c r="G157" s="8" t="s">
        <v>309</v>
      </c>
      <c r="H157" s="8" t="s">
        <v>185</v>
      </c>
      <c r="I157" s="8">
        <v>2800</v>
      </c>
      <c r="J157" s="49" t="s">
        <v>190</v>
      </c>
      <c r="K157" s="49"/>
      <c r="L157" s="49"/>
      <c r="M157" s="49"/>
      <c r="N157" s="49"/>
      <c r="O157" s="38"/>
      <c r="P157" s="38"/>
      <c r="Q157" s="38"/>
      <c r="R157" s="38"/>
      <c r="S157" s="39"/>
      <c r="T157" s="37"/>
      <c r="U157" s="17"/>
    </row>
    <row r="158" spans="1:21" s="12" customFormat="1" ht="14.25" customHeight="1" thickBot="1">
      <c r="A158" s="75">
        <v>211</v>
      </c>
      <c r="B158" s="9" t="s">
        <v>354</v>
      </c>
      <c r="C158" s="93" t="s">
        <v>413</v>
      </c>
      <c r="D158" s="4" t="s">
        <v>415</v>
      </c>
      <c r="E158" s="1">
        <v>216.8</v>
      </c>
      <c r="F158" s="14" t="s">
        <v>360</v>
      </c>
      <c r="G158" s="8" t="s">
        <v>173</v>
      </c>
      <c r="H158" s="8" t="s">
        <v>185</v>
      </c>
      <c r="I158" s="8">
        <v>2800</v>
      </c>
      <c r="J158" s="49" t="s">
        <v>190</v>
      </c>
      <c r="K158" s="49"/>
      <c r="L158" s="49"/>
      <c r="M158" s="49"/>
      <c r="N158" s="49"/>
      <c r="O158" s="38"/>
      <c r="P158" s="38"/>
      <c r="Q158" s="38"/>
      <c r="R158" s="38"/>
      <c r="S158" s="39"/>
      <c r="T158" s="37"/>
      <c r="U158" s="17"/>
    </row>
    <row r="159" spans="1:21" s="12" customFormat="1" ht="14.25" customHeight="1" thickBot="1">
      <c r="A159" s="75">
        <v>211</v>
      </c>
      <c r="B159" s="9" t="s">
        <v>354</v>
      </c>
      <c r="C159" s="93" t="s">
        <v>414</v>
      </c>
      <c r="D159" s="4" t="s">
        <v>417</v>
      </c>
      <c r="E159" s="1">
        <v>14.5</v>
      </c>
      <c r="F159" s="14" t="s">
        <v>156</v>
      </c>
      <c r="G159" s="8" t="s">
        <v>173</v>
      </c>
      <c r="H159" s="8" t="s">
        <v>517</v>
      </c>
      <c r="I159" s="8">
        <v>2800</v>
      </c>
      <c r="J159" s="49" t="s">
        <v>307</v>
      </c>
      <c r="K159" s="49"/>
      <c r="L159" s="49"/>
      <c r="M159" s="49"/>
      <c r="N159" s="49"/>
      <c r="O159" s="38"/>
      <c r="P159" s="38"/>
      <c r="Q159" s="38"/>
      <c r="R159" s="38"/>
      <c r="S159" s="39"/>
      <c r="T159" s="37"/>
      <c r="U159" s="17"/>
    </row>
    <row r="160" spans="1:21" s="12" customFormat="1" ht="14.25" customHeight="1" thickBot="1">
      <c r="A160" s="75">
        <v>211</v>
      </c>
      <c r="B160" s="9" t="s">
        <v>42</v>
      </c>
      <c r="C160" s="93" t="s">
        <v>418</v>
      </c>
      <c r="D160" s="4" t="s">
        <v>422</v>
      </c>
      <c r="E160" s="24">
        <v>11.2</v>
      </c>
      <c r="F160" s="14" t="s">
        <v>112</v>
      </c>
      <c r="G160" s="8" t="s">
        <v>509</v>
      </c>
      <c r="H160" s="8" t="s">
        <v>517</v>
      </c>
      <c r="I160" s="8">
        <v>3100</v>
      </c>
      <c r="J160" s="49" t="s">
        <v>132</v>
      </c>
      <c r="K160" s="49"/>
      <c r="L160" s="49"/>
      <c r="M160" s="49"/>
      <c r="N160" s="49"/>
      <c r="O160" s="38"/>
      <c r="P160" s="38"/>
      <c r="Q160" s="38"/>
      <c r="R160" s="38"/>
      <c r="S160" s="39"/>
      <c r="T160" s="37"/>
      <c r="U160" s="17"/>
    </row>
    <row r="161" spans="1:21" s="12" customFormat="1" ht="14.25" customHeight="1" thickBot="1">
      <c r="A161" s="75">
        <v>211</v>
      </c>
      <c r="B161" s="9" t="s">
        <v>42</v>
      </c>
      <c r="C161" s="93" t="s">
        <v>419</v>
      </c>
      <c r="D161" s="4" t="s">
        <v>423</v>
      </c>
      <c r="E161" s="24">
        <v>10.5</v>
      </c>
      <c r="F161" s="14" t="s">
        <v>126</v>
      </c>
      <c r="G161" s="8" t="s">
        <v>509</v>
      </c>
      <c r="H161" s="8" t="s">
        <v>518</v>
      </c>
      <c r="I161" s="8" t="s">
        <v>519</v>
      </c>
      <c r="J161" s="49" t="s">
        <v>520</v>
      </c>
      <c r="K161" s="49"/>
      <c r="L161" s="49"/>
      <c r="M161" s="49"/>
      <c r="N161" s="49"/>
      <c r="O161" s="38"/>
      <c r="P161" s="38"/>
      <c r="Q161" s="38"/>
      <c r="R161" s="38"/>
      <c r="S161" s="39"/>
      <c r="T161" s="37"/>
      <c r="U161" s="17"/>
    </row>
    <row r="162" spans="1:21" s="12" customFormat="1" ht="14.25" customHeight="1" thickBot="1">
      <c r="A162" s="75">
        <v>211</v>
      </c>
      <c r="B162" s="9" t="s">
        <v>42</v>
      </c>
      <c r="C162" s="93" t="s">
        <v>420</v>
      </c>
      <c r="D162" s="4" t="s">
        <v>424</v>
      </c>
      <c r="E162" s="2">
        <v>20.5</v>
      </c>
      <c r="F162" s="14" t="s">
        <v>421</v>
      </c>
      <c r="G162" s="8" t="s">
        <v>480</v>
      </c>
      <c r="H162" s="8" t="s">
        <v>519</v>
      </c>
      <c r="I162" s="8" t="s">
        <v>480</v>
      </c>
      <c r="J162" s="49" t="s">
        <v>480</v>
      </c>
      <c r="K162" s="49"/>
      <c r="L162" s="49"/>
      <c r="M162" s="49"/>
      <c r="N162" s="49"/>
      <c r="O162" s="38"/>
      <c r="P162" s="38"/>
      <c r="Q162" s="38"/>
      <c r="R162" s="38"/>
      <c r="S162" s="39"/>
      <c r="T162" s="37"/>
      <c r="U162" s="17"/>
    </row>
    <row r="163" spans="1:21" s="12" customFormat="1" ht="14.25" customHeight="1" thickBot="1">
      <c r="A163" s="75">
        <v>211</v>
      </c>
      <c r="B163" s="9" t="s">
        <v>42</v>
      </c>
      <c r="C163" s="93" t="s">
        <v>425</v>
      </c>
      <c r="D163" s="4" t="s">
        <v>426</v>
      </c>
      <c r="E163" s="2">
        <v>12.9</v>
      </c>
      <c r="F163" s="14" t="s">
        <v>157</v>
      </c>
      <c r="G163" s="8" t="s">
        <v>521</v>
      </c>
      <c r="H163" s="8" t="s">
        <v>522</v>
      </c>
      <c r="I163" s="8">
        <v>2800</v>
      </c>
      <c r="J163" s="49" t="s">
        <v>480</v>
      </c>
      <c r="K163" s="71"/>
      <c r="L163" s="71"/>
      <c r="M163" s="71"/>
      <c r="N163" s="71"/>
      <c r="O163" s="38"/>
      <c r="P163" s="63"/>
      <c r="Q163" s="38"/>
      <c r="R163" s="38"/>
      <c r="S163" s="39"/>
      <c r="T163" s="37"/>
      <c r="U163" s="17"/>
    </row>
    <row r="164" spans="1:21" s="12" customFormat="1" ht="14.25" customHeight="1" thickBot="1">
      <c r="A164" s="75">
        <v>211</v>
      </c>
      <c r="B164" s="9" t="s">
        <v>42</v>
      </c>
      <c r="C164" s="93" t="s">
        <v>427</v>
      </c>
      <c r="D164" s="4" t="s">
        <v>430</v>
      </c>
      <c r="E164" s="2">
        <v>11.7</v>
      </c>
      <c r="F164" s="14" t="s">
        <v>157</v>
      </c>
      <c r="G164" s="8" t="s">
        <v>521</v>
      </c>
      <c r="H164" s="8" t="s">
        <v>522</v>
      </c>
      <c r="I164" s="8">
        <v>2800</v>
      </c>
      <c r="J164" s="49" t="s">
        <v>480</v>
      </c>
      <c r="K164" s="71"/>
      <c r="L164" s="71"/>
      <c r="M164" s="71"/>
      <c r="N164" s="71"/>
      <c r="O164" s="38"/>
      <c r="P164" s="63"/>
      <c r="Q164" s="38"/>
      <c r="R164" s="38"/>
      <c r="S164" s="39"/>
      <c r="T164" s="37"/>
      <c r="U164" s="17"/>
    </row>
    <row r="165" spans="1:21" s="12" customFormat="1" ht="14.25" customHeight="1" thickBot="1">
      <c r="A165" s="75">
        <v>211</v>
      </c>
      <c r="B165" s="9" t="s">
        <v>42</v>
      </c>
      <c r="C165" s="93" t="s">
        <v>428</v>
      </c>
      <c r="D165" s="4" t="s">
        <v>431</v>
      </c>
      <c r="E165" s="2">
        <v>6.4</v>
      </c>
      <c r="F165" s="14" t="s">
        <v>421</v>
      </c>
      <c r="G165" s="14" t="s">
        <v>76</v>
      </c>
      <c r="H165" s="14" t="s">
        <v>76</v>
      </c>
      <c r="I165" s="14" t="s">
        <v>76</v>
      </c>
      <c r="J165" s="49" t="s">
        <v>480</v>
      </c>
      <c r="K165" s="71"/>
      <c r="L165" s="71"/>
      <c r="M165" s="71"/>
      <c r="N165" s="71"/>
      <c r="O165" s="38"/>
      <c r="P165" s="63"/>
      <c r="Q165" s="38"/>
      <c r="R165" s="38"/>
      <c r="S165" s="39"/>
      <c r="T165" s="37"/>
      <c r="U165" s="17"/>
    </row>
    <row r="166" spans="1:21" s="12" customFormat="1" ht="14.25" customHeight="1" thickBot="1">
      <c r="A166" s="75">
        <v>211</v>
      </c>
      <c r="B166" s="9" t="s">
        <v>42</v>
      </c>
      <c r="C166" s="93" t="s">
        <v>429</v>
      </c>
      <c r="D166" s="4" t="s">
        <v>432</v>
      </c>
      <c r="E166" s="1">
        <v>6.4</v>
      </c>
      <c r="F166" s="14" t="s">
        <v>421</v>
      </c>
      <c r="G166" s="14" t="s">
        <v>76</v>
      </c>
      <c r="H166" s="14" t="s">
        <v>76</v>
      </c>
      <c r="I166" s="14" t="s">
        <v>76</v>
      </c>
      <c r="J166" s="49" t="s">
        <v>480</v>
      </c>
      <c r="K166" s="49"/>
      <c r="L166" s="49"/>
      <c r="M166" s="49"/>
      <c r="N166" s="49"/>
      <c r="O166" s="38"/>
      <c r="P166" s="38"/>
      <c r="Q166" s="38"/>
      <c r="R166" s="38"/>
      <c r="S166" s="39"/>
      <c r="T166" s="37"/>
      <c r="U166" s="17"/>
    </row>
    <row r="167" spans="1:21" s="12" customFormat="1" ht="14.25" customHeight="1" thickBot="1">
      <c r="A167" s="75">
        <v>211</v>
      </c>
      <c r="B167" s="9" t="s">
        <v>42</v>
      </c>
      <c r="C167" s="93" t="s">
        <v>433</v>
      </c>
      <c r="D167" s="4" t="s">
        <v>424</v>
      </c>
      <c r="E167" s="1">
        <v>12.9</v>
      </c>
      <c r="F167" s="14" t="s">
        <v>421</v>
      </c>
      <c r="G167" s="14" t="s">
        <v>76</v>
      </c>
      <c r="H167" s="14" t="s">
        <v>76</v>
      </c>
      <c r="I167" s="14" t="s">
        <v>76</v>
      </c>
      <c r="J167" s="49" t="s">
        <v>480</v>
      </c>
      <c r="K167" s="49"/>
      <c r="L167" s="49"/>
      <c r="M167" s="49"/>
      <c r="N167" s="49"/>
      <c r="O167" s="38"/>
      <c r="P167" s="38"/>
      <c r="Q167" s="38"/>
      <c r="R167" s="38"/>
      <c r="S167" s="39"/>
      <c r="T167" s="37"/>
      <c r="U167" s="17"/>
    </row>
    <row r="168" spans="1:21" s="12" customFormat="1" ht="14.25" customHeight="1" thickBot="1">
      <c r="A168" s="75">
        <v>211</v>
      </c>
      <c r="B168" s="9" t="s">
        <v>42</v>
      </c>
      <c r="C168" s="93" t="s">
        <v>434</v>
      </c>
      <c r="D168" s="4" t="s">
        <v>442</v>
      </c>
      <c r="E168" s="1">
        <v>7.9</v>
      </c>
      <c r="F168" s="14" t="s">
        <v>421</v>
      </c>
      <c r="G168" s="14" t="s">
        <v>76</v>
      </c>
      <c r="H168" s="14" t="s">
        <v>76</v>
      </c>
      <c r="I168" s="14" t="s">
        <v>76</v>
      </c>
      <c r="J168" s="49" t="s">
        <v>480</v>
      </c>
      <c r="K168" s="49"/>
      <c r="L168" s="49"/>
      <c r="M168" s="49"/>
      <c r="N168" s="49"/>
      <c r="O168" s="38"/>
      <c r="P168" s="38"/>
      <c r="Q168" s="38"/>
      <c r="R168" s="38"/>
      <c r="S168" s="39"/>
      <c r="T168" s="37"/>
      <c r="U168" s="17"/>
    </row>
    <row r="169" spans="1:21" s="12" customFormat="1" ht="14.25" customHeight="1" thickBot="1">
      <c r="A169" s="75">
        <v>211</v>
      </c>
      <c r="B169" s="9" t="s">
        <v>42</v>
      </c>
      <c r="C169" s="93" t="s">
        <v>435</v>
      </c>
      <c r="D169" s="4" t="s">
        <v>443</v>
      </c>
      <c r="E169" s="1">
        <v>17</v>
      </c>
      <c r="F169" s="14" t="s">
        <v>448</v>
      </c>
      <c r="G169" s="8" t="s">
        <v>478</v>
      </c>
      <c r="H169" s="8" t="s">
        <v>527</v>
      </c>
      <c r="I169" s="8">
        <v>3000</v>
      </c>
      <c r="J169" s="49" t="s">
        <v>525</v>
      </c>
      <c r="K169" s="49"/>
      <c r="L169" s="49"/>
      <c r="M169" s="49"/>
      <c r="N169" s="49"/>
      <c r="O169" s="38"/>
      <c r="P169" s="38"/>
      <c r="Q169" s="38"/>
      <c r="R169" s="38"/>
      <c r="S169" s="39"/>
      <c r="T169" s="37"/>
      <c r="U169" s="17"/>
    </row>
    <row r="170" spans="1:21" s="12" customFormat="1" ht="14.25" customHeight="1" thickBot="1">
      <c r="A170" s="75">
        <v>211</v>
      </c>
      <c r="B170" s="9" t="s">
        <v>42</v>
      </c>
      <c r="C170" s="93" t="s">
        <v>436</v>
      </c>
      <c r="D170" s="4" t="s">
        <v>444</v>
      </c>
      <c r="E170" s="1">
        <v>18</v>
      </c>
      <c r="F170" s="14" t="s">
        <v>448</v>
      </c>
      <c r="G170" s="8" t="s">
        <v>478</v>
      </c>
      <c r="H170" s="8" t="s">
        <v>523</v>
      </c>
      <c r="I170" s="8" t="s">
        <v>524</v>
      </c>
      <c r="J170" s="49" t="s">
        <v>525</v>
      </c>
      <c r="K170" s="49"/>
      <c r="L170" s="49"/>
      <c r="M170" s="49"/>
      <c r="N170" s="49"/>
      <c r="O170" s="38"/>
      <c r="P170" s="38"/>
      <c r="Q170" s="38"/>
      <c r="R170" s="38"/>
      <c r="S170" s="39"/>
      <c r="T170" s="37"/>
      <c r="U170" s="17"/>
    </row>
    <row r="171" spans="1:21" s="12" customFormat="1" ht="14.25" customHeight="1" thickBot="1">
      <c r="A171" s="75">
        <v>211</v>
      </c>
      <c r="B171" s="9" t="s">
        <v>42</v>
      </c>
      <c r="C171" s="93" t="s">
        <v>437</v>
      </c>
      <c r="D171" s="4" t="s">
        <v>406</v>
      </c>
      <c r="E171" s="2">
        <v>12.4</v>
      </c>
      <c r="F171" s="14" t="s">
        <v>449</v>
      </c>
      <c r="G171" s="8" t="s">
        <v>528</v>
      </c>
      <c r="H171" s="8" t="s">
        <v>527</v>
      </c>
      <c r="I171" s="8">
        <v>2800</v>
      </c>
      <c r="J171" s="49" t="s">
        <v>526</v>
      </c>
      <c r="K171" s="49"/>
      <c r="L171" s="49"/>
      <c r="M171" s="49"/>
      <c r="N171" s="49"/>
      <c r="O171" s="38"/>
      <c r="P171" s="38"/>
      <c r="Q171" s="38"/>
      <c r="R171" s="38"/>
      <c r="S171" s="39"/>
      <c r="T171" s="37"/>
      <c r="U171" s="17"/>
    </row>
    <row r="172" spans="1:21" s="12" customFormat="1" ht="14.25" customHeight="1" thickBot="1">
      <c r="A172" s="75">
        <v>211</v>
      </c>
      <c r="B172" s="9" t="s">
        <v>42</v>
      </c>
      <c r="C172" s="93" t="s">
        <v>438</v>
      </c>
      <c r="D172" s="4" t="s">
        <v>408</v>
      </c>
      <c r="E172" s="1">
        <v>12.4</v>
      </c>
      <c r="F172" s="14" t="s">
        <v>449</v>
      </c>
      <c r="G172" s="8" t="s">
        <v>528</v>
      </c>
      <c r="H172" s="8" t="s">
        <v>527</v>
      </c>
      <c r="I172" s="8">
        <v>2800</v>
      </c>
      <c r="J172" s="49" t="s">
        <v>526</v>
      </c>
      <c r="K172" s="49"/>
      <c r="L172" s="49"/>
      <c r="M172" s="49"/>
      <c r="N172" s="49"/>
      <c r="O172" s="38"/>
      <c r="P172" s="38"/>
      <c r="Q172" s="38"/>
      <c r="R172" s="38"/>
      <c r="S172" s="39"/>
      <c r="T172" s="37"/>
      <c r="U172" s="17"/>
    </row>
    <row r="173" spans="1:21" s="12" customFormat="1" ht="14.25" customHeight="1" thickBot="1">
      <c r="A173" s="75">
        <v>211</v>
      </c>
      <c r="B173" s="9" t="s">
        <v>42</v>
      </c>
      <c r="C173" s="93" t="s">
        <v>439</v>
      </c>
      <c r="D173" s="4" t="s">
        <v>446</v>
      </c>
      <c r="E173" s="1">
        <v>16.5</v>
      </c>
      <c r="F173" s="14" t="s">
        <v>449</v>
      </c>
      <c r="G173" s="8" t="s">
        <v>528</v>
      </c>
      <c r="H173" s="8" t="s">
        <v>527</v>
      </c>
      <c r="I173" s="8">
        <v>2800</v>
      </c>
      <c r="J173" s="49" t="s">
        <v>526</v>
      </c>
      <c r="K173" s="49"/>
      <c r="L173" s="49"/>
      <c r="M173" s="49"/>
      <c r="N173" s="49"/>
      <c r="O173" s="38"/>
      <c r="P173" s="38"/>
      <c r="Q173" s="38"/>
      <c r="R173" s="38"/>
      <c r="S173" s="39"/>
      <c r="T173" s="37"/>
      <c r="U173" s="17"/>
    </row>
    <row r="174" spans="1:21" s="12" customFormat="1" ht="14.25" customHeight="1" thickBot="1">
      <c r="A174" s="75">
        <v>211</v>
      </c>
      <c r="B174" s="9" t="s">
        <v>42</v>
      </c>
      <c r="C174" s="93" t="s">
        <v>440</v>
      </c>
      <c r="D174" s="4" t="s">
        <v>446</v>
      </c>
      <c r="E174" s="2">
        <v>16.5</v>
      </c>
      <c r="F174" s="14" t="s">
        <v>449</v>
      </c>
      <c r="G174" s="8" t="s">
        <v>528</v>
      </c>
      <c r="H174" s="8" t="s">
        <v>527</v>
      </c>
      <c r="I174" s="8">
        <v>2800</v>
      </c>
      <c r="J174" s="49" t="s">
        <v>526</v>
      </c>
      <c r="K174" s="49"/>
      <c r="L174" s="49"/>
      <c r="M174" s="49"/>
      <c r="N174" s="49"/>
      <c r="O174" s="38"/>
      <c r="P174" s="38"/>
      <c r="Q174" s="38"/>
      <c r="R174" s="38"/>
      <c r="S174" s="39"/>
      <c r="T174" s="37"/>
      <c r="U174" s="17"/>
    </row>
    <row r="175" spans="1:21" s="12" customFormat="1" ht="14.25" customHeight="1" thickBot="1">
      <c r="A175" s="75">
        <v>211</v>
      </c>
      <c r="B175" s="9" t="s">
        <v>42</v>
      </c>
      <c r="C175" s="93" t="s">
        <v>441</v>
      </c>
      <c r="D175" s="4" t="s">
        <v>447</v>
      </c>
      <c r="E175" s="2">
        <v>251.2</v>
      </c>
      <c r="F175" s="14" t="s">
        <v>449</v>
      </c>
      <c r="G175" s="8" t="s">
        <v>478</v>
      </c>
      <c r="H175" s="8" t="s">
        <v>527</v>
      </c>
      <c r="I175" s="8">
        <v>2800</v>
      </c>
      <c r="J175" s="49" t="s">
        <v>526</v>
      </c>
      <c r="K175" s="49"/>
      <c r="L175" s="49"/>
      <c r="M175" s="49"/>
      <c r="N175" s="49"/>
      <c r="O175" s="38"/>
      <c r="P175" s="38"/>
      <c r="Q175" s="38"/>
      <c r="R175" s="38"/>
      <c r="S175" s="39"/>
      <c r="T175" s="37"/>
      <c r="U175" s="17"/>
    </row>
    <row r="176" spans="1:21" s="12" customFormat="1" ht="14.25" customHeight="1" thickBot="1">
      <c r="A176" s="75">
        <v>211</v>
      </c>
      <c r="B176" s="9" t="s">
        <v>42</v>
      </c>
      <c r="C176" s="93" t="s">
        <v>450</v>
      </c>
      <c r="D176" s="4" t="s">
        <v>454</v>
      </c>
      <c r="E176" s="1">
        <v>9.4</v>
      </c>
      <c r="F176" s="14" t="s">
        <v>449</v>
      </c>
      <c r="G176" s="8" t="s">
        <v>528</v>
      </c>
      <c r="H176" s="8" t="s">
        <v>527</v>
      </c>
      <c r="I176" s="8">
        <v>2800</v>
      </c>
      <c r="J176" s="49" t="s">
        <v>526</v>
      </c>
      <c r="K176" s="49"/>
      <c r="L176" s="49"/>
      <c r="M176" s="49"/>
      <c r="N176" s="49"/>
      <c r="O176" s="38"/>
      <c r="P176" s="38"/>
      <c r="Q176" s="38"/>
      <c r="R176" s="38"/>
      <c r="S176" s="39"/>
      <c r="T176" s="37"/>
      <c r="U176" s="17"/>
    </row>
    <row r="177" spans="1:16334" s="12" customFormat="1" ht="14.25" customHeight="1" thickBot="1">
      <c r="A177" s="75">
        <v>211</v>
      </c>
      <c r="B177" s="9" t="s">
        <v>42</v>
      </c>
      <c r="C177" s="93" t="s">
        <v>451</v>
      </c>
      <c r="D177" s="4" t="s">
        <v>455</v>
      </c>
      <c r="E177" s="1">
        <v>5.9</v>
      </c>
      <c r="F177" s="14" t="s">
        <v>449</v>
      </c>
      <c r="G177" s="8" t="s">
        <v>528</v>
      </c>
      <c r="H177" s="8" t="s">
        <v>527</v>
      </c>
      <c r="I177" s="8">
        <v>2800</v>
      </c>
      <c r="J177" s="49" t="s">
        <v>526</v>
      </c>
      <c r="K177" s="49"/>
      <c r="L177" s="49"/>
      <c r="M177" s="49"/>
      <c r="N177" s="49"/>
      <c r="O177" s="38"/>
      <c r="P177" s="38"/>
      <c r="Q177" s="38"/>
      <c r="R177" s="38"/>
      <c r="S177" s="39"/>
      <c r="T177" s="37"/>
      <c r="U177" s="17"/>
    </row>
    <row r="178" spans="1:16334" s="12" customFormat="1" ht="14.25" customHeight="1" thickBot="1">
      <c r="A178" s="75">
        <v>211</v>
      </c>
      <c r="B178" s="9" t="s">
        <v>42</v>
      </c>
      <c r="C178" s="93" t="s">
        <v>452</v>
      </c>
      <c r="D178" s="4" t="s">
        <v>456</v>
      </c>
      <c r="E178" s="1">
        <v>5.76</v>
      </c>
      <c r="F178" s="14" t="s">
        <v>449</v>
      </c>
      <c r="G178" s="8" t="s">
        <v>528</v>
      </c>
      <c r="H178" s="8" t="s">
        <v>527</v>
      </c>
      <c r="I178" s="8">
        <v>2800</v>
      </c>
      <c r="J178" s="49" t="s">
        <v>526</v>
      </c>
      <c r="K178" s="49"/>
      <c r="L178" s="49"/>
      <c r="M178" s="49"/>
      <c r="N178" s="49"/>
      <c r="O178" s="38"/>
      <c r="P178" s="38"/>
      <c r="Q178" s="38"/>
      <c r="R178" s="38"/>
      <c r="S178" s="39"/>
      <c r="T178" s="37"/>
      <c r="U178" s="17"/>
    </row>
    <row r="179" spans="1:16334" s="12" customFormat="1" ht="14.25" customHeight="1" thickBot="1">
      <c r="A179" s="75">
        <v>211</v>
      </c>
      <c r="B179" s="9" t="s">
        <v>42</v>
      </c>
      <c r="C179" s="93" t="s">
        <v>453</v>
      </c>
      <c r="D179" s="4" t="s">
        <v>457</v>
      </c>
      <c r="E179" s="1">
        <v>8.5</v>
      </c>
      <c r="F179" s="14" t="s">
        <v>449</v>
      </c>
      <c r="G179" s="8" t="s">
        <v>528</v>
      </c>
      <c r="H179" s="8" t="s">
        <v>527</v>
      </c>
      <c r="I179" s="8">
        <v>2800</v>
      </c>
      <c r="J179" s="49" t="s">
        <v>526</v>
      </c>
      <c r="K179" s="49"/>
      <c r="L179" s="49"/>
      <c r="M179" s="49"/>
      <c r="N179" s="49"/>
      <c r="O179" s="38"/>
      <c r="P179" s="38"/>
      <c r="Q179" s="38"/>
      <c r="R179" s="38"/>
      <c r="S179" s="39"/>
      <c r="T179" s="37"/>
      <c r="U179" s="17"/>
    </row>
    <row r="180" spans="1:16334" s="191" customFormat="1" ht="14.25" customHeight="1" thickBot="1">
      <c r="A180" s="179">
        <v>211</v>
      </c>
      <c r="B180" s="180" t="s">
        <v>42</v>
      </c>
      <c r="C180" s="181"/>
      <c r="D180" s="247" t="s">
        <v>936</v>
      </c>
      <c r="E180" s="183">
        <v>2322.6</v>
      </c>
      <c r="F180" s="192"/>
      <c r="G180" s="193"/>
      <c r="H180" s="192"/>
      <c r="I180" s="192"/>
      <c r="J180" s="186"/>
      <c r="K180" s="186"/>
      <c r="L180" s="186"/>
      <c r="M180" s="186"/>
      <c r="N180" s="186"/>
      <c r="O180" s="187"/>
      <c r="P180" s="187"/>
      <c r="Q180" s="187"/>
      <c r="R180" s="187"/>
      <c r="S180" s="188"/>
      <c r="T180" s="189"/>
      <c r="U180" s="190"/>
    </row>
    <row r="181" spans="1:16334" s="12" customFormat="1" ht="14.25" customHeight="1" thickBot="1">
      <c r="A181" s="75">
        <v>211</v>
      </c>
      <c r="B181" s="9" t="s">
        <v>458</v>
      </c>
      <c r="C181" s="93" t="s">
        <v>459</v>
      </c>
      <c r="D181" s="4" t="s">
        <v>463</v>
      </c>
      <c r="E181" s="1">
        <v>18.2</v>
      </c>
      <c r="F181" s="14" t="s">
        <v>464</v>
      </c>
      <c r="G181" s="8" t="s">
        <v>478</v>
      </c>
      <c r="H181" s="8" t="s">
        <v>529</v>
      </c>
      <c r="I181" s="8" t="s">
        <v>524</v>
      </c>
      <c r="J181" s="49" t="s">
        <v>530</v>
      </c>
      <c r="K181" s="49"/>
      <c r="L181" s="49"/>
      <c r="M181" s="49"/>
      <c r="N181" s="49"/>
      <c r="O181" s="38"/>
      <c r="P181" s="38"/>
      <c r="Q181" s="38"/>
      <c r="R181" s="38"/>
      <c r="S181" s="39"/>
      <c r="T181" s="37"/>
      <c r="U181" s="17"/>
    </row>
    <row r="182" spans="1:16334" s="12" customFormat="1" ht="14.25" customHeight="1" thickBot="1">
      <c r="A182" s="75">
        <v>211</v>
      </c>
      <c r="B182" s="9" t="s">
        <v>458</v>
      </c>
      <c r="C182" s="93" t="s">
        <v>460</v>
      </c>
      <c r="D182" s="244" t="s">
        <v>466</v>
      </c>
      <c r="E182" s="1">
        <v>14.5</v>
      </c>
      <c r="F182" s="14" t="s">
        <v>464</v>
      </c>
      <c r="G182" s="8" t="s">
        <v>478</v>
      </c>
      <c r="H182" s="8" t="s">
        <v>517</v>
      </c>
      <c r="I182" s="8">
        <v>2800</v>
      </c>
      <c r="J182" s="49" t="s">
        <v>530</v>
      </c>
      <c r="K182" s="49"/>
      <c r="L182" s="49"/>
      <c r="M182" s="49"/>
      <c r="N182" s="49"/>
      <c r="O182" s="38"/>
      <c r="P182" s="38"/>
      <c r="Q182" s="38"/>
      <c r="R182" s="38"/>
      <c r="S182" s="39"/>
      <c r="T182" s="37"/>
      <c r="U182" s="17"/>
    </row>
    <row r="183" spans="1:16334" s="12" customFormat="1" ht="14.25" customHeight="1" thickBot="1">
      <c r="A183" s="75">
        <v>211</v>
      </c>
      <c r="B183" s="9" t="s">
        <v>458</v>
      </c>
      <c r="C183" s="93" t="s">
        <v>461</v>
      </c>
      <c r="D183" s="4" t="s">
        <v>467</v>
      </c>
      <c r="E183" s="1">
        <v>22.4</v>
      </c>
      <c r="F183" s="14" t="s">
        <v>465</v>
      </c>
      <c r="G183" s="8" t="s">
        <v>478</v>
      </c>
      <c r="H183" s="8" t="s">
        <v>518</v>
      </c>
      <c r="I183" s="8" t="s">
        <v>524</v>
      </c>
      <c r="J183" s="49" t="s">
        <v>520</v>
      </c>
      <c r="K183" s="49"/>
      <c r="L183" s="49"/>
      <c r="M183" s="49"/>
      <c r="N183" s="49"/>
      <c r="O183" s="38"/>
      <c r="P183" s="38"/>
      <c r="Q183" s="38"/>
      <c r="R183" s="38"/>
      <c r="S183" s="39"/>
      <c r="T183" s="37"/>
      <c r="U183" s="17"/>
    </row>
    <row r="184" spans="1:16334" s="12" customFormat="1" ht="14.25" customHeight="1" thickBot="1">
      <c r="A184" s="75">
        <v>211</v>
      </c>
      <c r="B184" s="9" t="s">
        <v>458</v>
      </c>
      <c r="C184" s="93" t="s">
        <v>462</v>
      </c>
      <c r="D184" s="4" t="s">
        <v>468</v>
      </c>
      <c r="E184" s="1">
        <v>20.5</v>
      </c>
      <c r="F184" s="14" t="s">
        <v>421</v>
      </c>
      <c r="G184" s="8" t="s">
        <v>524</v>
      </c>
      <c r="H184" s="8" t="s">
        <v>524</v>
      </c>
      <c r="I184" s="8" t="s">
        <v>524</v>
      </c>
      <c r="J184" s="49" t="s">
        <v>519</v>
      </c>
      <c r="K184" s="49"/>
      <c r="L184" s="49"/>
      <c r="M184" s="49"/>
      <c r="N184" s="49"/>
      <c r="O184" s="38"/>
      <c r="P184" s="38"/>
      <c r="Q184" s="38"/>
      <c r="R184" s="38"/>
      <c r="S184" s="39"/>
      <c r="T184" s="37"/>
      <c r="U184" s="17"/>
    </row>
    <row r="185" spans="1:16334" s="12" customFormat="1" ht="14.25" customHeight="1" thickBot="1">
      <c r="A185" s="75">
        <v>211</v>
      </c>
      <c r="B185" s="9" t="s">
        <v>458</v>
      </c>
      <c r="C185" s="93" t="s">
        <v>469</v>
      </c>
      <c r="D185" s="4" t="s">
        <v>474</v>
      </c>
      <c r="E185" s="1">
        <v>13.4</v>
      </c>
      <c r="F185" s="14" t="s">
        <v>449</v>
      </c>
      <c r="G185" s="8" t="s">
        <v>478</v>
      </c>
      <c r="H185" s="8" t="s">
        <v>522</v>
      </c>
      <c r="I185" s="8">
        <v>2800</v>
      </c>
      <c r="J185" s="49" t="s">
        <v>519</v>
      </c>
      <c r="K185" s="49"/>
      <c r="L185" s="49"/>
      <c r="M185" s="49"/>
      <c r="N185" s="49"/>
      <c r="O185" s="38"/>
      <c r="P185" s="38"/>
      <c r="Q185" s="38"/>
      <c r="R185" s="38"/>
      <c r="S185" s="39"/>
      <c r="T185" s="37"/>
      <c r="U185" s="17"/>
    </row>
    <row r="186" spans="1:16334" s="12" customFormat="1" ht="14.25" customHeight="1" thickBot="1">
      <c r="A186" s="75">
        <v>211</v>
      </c>
      <c r="B186" s="9" t="s">
        <v>458</v>
      </c>
      <c r="C186" s="93" t="s">
        <v>470</v>
      </c>
      <c r="D186" s="4" t="s">
        <v>430</v>
      </c>
      <c r="E186" s="2">
        <v>20.2</v>
      </c>
      <c r="F186" s="14" t="s">
        <v>449</v>
      </c>
      <c r="G186" s="8" t="s">
        <v>478</v>
      </c>
      <c r="H186" s="8" t="s">
        <v>522</v>
      </c>
      <c r="I186" s="8">
        <v>2800</v>
      </c>
      <c r="J186" s="49" t="s">
        <v>519</v>
      </c>
      <c r="K186" s="49"/>
      <c r="L186" s="49"/>
      <c r="M186" s="49"/>
      <c r="N186" s="49"/>
      <c r="O186" s="38"/>
      <c r="P186" s="38"/>
      <c r="Q186" s="38"/>
      <c r="R186" s="38"/>
      <c r="S186" s="39"/>
      <c r="T186" s="37"/>
      <c r="U186" s="17"/>
    </row>
    <row r="187" spans="1:16334" s="12" customFormat="1" ht="14.25" customHeight="1" thickBot="1">
      <c r="A187" s="75">
        <v>211</v>
      </c>
      <c r="B187" s="9" t="s">
        <v>458</v>
      </c>
      <c r="C187" s="93" t="s">
        <v>471</v>
      </c>
      <c r="D187" s="4" t="s">
        <v>431</v>
      </c>
      <c r="E187" s="1">
        <v>6.4</v>
      </c>
      <c r="F187" s="14" t="s">
        <v>421</v>
      </c>
      <c r="G187" s="8" t="s">
        <v>478</v>
      </c>
      <c r="H187" s="8" t="s">
        <v>531</v>
      </c>
      <c r="I187" s="8" t="s">
        <v>534</v>
      </c>
      <c r="J187" s="49" t="s">
        <v>519</v>
      </c>
      <c r="K187" s="49"/>
      <c r="L187" s="49"/>
      <c r="M187" s="49"/>
      <c r="N187" s="49"/>
      <c r="O187" s="38"/>
      <c r="P187" s="38"/>
      <c r="Q187" s="38"/>
      <c r="R187" s="38"/>
      <c r="S187" s="39"/>
      <c r="T187" s="37"/>
      <c r="U187" s="17"/>
    </row>
    <row r="188" spans="1:16334" s="12" customFormat="1" ht="14.25" customHeight="1" thickBot="1">
      <c r="A188" s="75">
        <v>211</v>
      </c>
      <c r="B188" s="9" t="s">
        <v>458</v>
      </c>
      <c r="C188" s="93" t="s">
        <v>472</v>
      </c>
      <c r="D188" s="4" t="s">
        <v>432</v>
      </c>
      <c r="E188" s="2">
        <v>6.4</v>
      </c>
      <c r="F188" s="14" t="s">
        <v>421</v>
      </c>
      <c r="G188" s="8" t="s">
        <v>478</v>
      </c>
      <c r="H188" s="8" t="s">
        <v>524</v>
      </c>
      <c r="I188" s="8" t="s">
        <v>524</v>
      </c>
      <c r="J188" s="49" t="s">
        <v>519</v>
      </c>
      <c r="K188" s="49"/>
      <c r="L188" s="49"/>
      <c r="M188" s="49"/>
      <c r="N188" s="49"/>
      <c r="O188" s="38"/>
      <c r="P188" s="38"/>
      <c r="Q188" s="38"/>
      <c r="R188" s="38"/>
      <c r="S188" s="39"/>
      <c r="T188" s="37"/>
      <c r="U188" s="17"/>
    </row>
    <row r="189" spans="1:16334" s="12" customFormat="1" ht="14.25" customHeight="1" thickBot="1">
      <c r="A189" s="75">
        <v>211</v>
      </c>
      <c r="B189" s="9" t="s">
        <v>458</v>
      </c>
      <c r="C189" s="93" t="s">
        <v>473</v>
      </c>
      <c r="D189" s="4" t="s">
        <v>477</v>
      </c>
      <c r="E189" s="1">
        <v>1672.7</v>
      </c>
      <c r="F189" s="14" t="s">
        <v>449</v>
      </c>
      <c r="G189" s="8" t="s">
        <v>478</v>
      </c>
      <c r="H189" s="8" t="s">
        <v>527</v>
      </c>
      <c r="I189" s="8">
        <v>2800</v>
      </c>
      <c r="J189" s="49" t="s">
        <v>526</v>
      </c>
      <c r="K189" s="49"/>
      <c r="L189" s="49"/>
      <c r="M189" s="49"/>
      <c r="N189" s="49"/>
      <c r="O189" s="38"/>
      <c r="P189" s="38"/>
      <c r="Q189" s="38"/>
      <c r="R189" s="38"/>
      <c r="S189" s="39"/>
      <c r="T189" s="37"/>
      <c r="U189" s="17"/>
    </row>
    <row r="190" spans="1:16334" s="12" customFormat="1" ht="13.8" thickBot="1">
      <c r="A190" s="75">
        <v>211</v>
      </c>
      <c r="B190" s="9" t="s">
        <v>458</v>
      </c>
      <c r="C190" s="93" t="s">
        <v>481</v>
      </c>
      <c r="D190" s="4" t="s">
        <v>422</v>
      </c>
      <c r="E190" s="1">
        <v>9.1999999999999993</v>
      </c>
      <c r="F190" s="14" t="s">
        <v>475</v>
      </c>
      <c r="G190" s="8" t="s">
        <v>479</v>
      </c>
      <c r="H190" s="8" t="s">
        <v>527</v>
      </c>
      <c r="I190" s="8">
        <v>3100</v>
      </c>
      <c r="J190" s="49" t="s">
        <v>535</v>
      </c>
      <c r="K190" s="49"/>
      <c r="L190" s="49"/>
      <c r="M190" s="49"/>
      <c r="N190" s="49"/>
      <c r="O190" s="38"/>
      <c r="P190" s="38"/>
      <c r="Q190" s="38"/>
      <c r="R190" s="38"/>
      <c r="S190" s="39"/>
      <c r="T190" s="37"/>
      <c r="U190" s="17"/>
    </row>
    <row r="191" spans="1:16334" s="12" customFormat="1" ht="14.25" customHeight="1" thickBot="1">
      <c r="A191" s="75">
        <v>211</v>
      </c>
      <c r="B191" s="9" t="s">
        <v>458</v>
      </c>
      <c r="C191" s="93" t="s">
        <v>483</v>
      </c>
      <c r="D191" s="249" t="s">
        <v>482</v>
      </c>
      <c r="E191" s="15">
        <v>8.6999999999999993</v>
      </c>
      <c r="F191" s="14" t="s">
        <v>476</v>
      </c>
      <c r="G191" s="8" t="s">
        <v>479</v>
      </c>
      <c r="H191" s="16" t="s">
        <v>518</v>
      </c>
      <c r="I191" s="16" t="s">
        <v>524</v>
      </c>
      <c r="J191" s="49" t="s">
        <v>520</v>
      </c>
      <c r="K191" s="49"/>
      <c r="L191" s="49"/>
      <c r="M191" s="49"/>
      <c r="N191" s="49"/>
      <c r="O191" s="40"/>
      <c r="P191" s="40"/>
      <c r="Q191" s="40"/>
      <c r="R191" s="40"/>
      <c r="S191" s="41"/>
      <c r="T191" s="37"/>
      <c r="U191" s="17"/>
    </row>
    <row r="192" spans="1:16334" s="12" customFormat="1" ht="13.8" thickBot="1">
      <c r="A192" s="75">
        <v>211</v>
      </c>
      <c r="B192" s="9" t="s">
        <v>458</v>
      </c>
      <c r="C192" s="93" t="s">
        <v>484</v>
      </c>
      <c r="D192" s="250" t="s">
        <v>487</v>
      </c>
      <c r="E192" s="8">
        <v>17.8</v>
      </c>
      <c r="F192" s="14" t="s">
        <v>109</v>
      </c>
      <c r="G192" s="8" t="s">
        <v>479</v>
      </c>
      <c r="H192" s="8" t="s">
        <v>532</v>
      </c>
      <c r="I192" s="16" t="s">
        <v>524</v>
      </c>
      <c r="J192" s="49" t="s">
        <v>520</v>
      </c>
      <c r="K192" s="49"/>
      <c r="L192" s="49"/>
      <c r="M192" s="49"/>
      <c r="N192" s="49"/>
      <c r="O192" s="38"/>
      <c r="P192" s="38"/>
      <c r="Q192" s="38"/>
      <c r="R192" s="38"/>
      <c r="S192" s="39"/>
      <c r="T192" s="3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  <c r="GZ192" s="17"/>
      <c r="HA192" s="17"/>
      <c r="HB192" s="17"/>
      <c r="HC192" s="17"/>
      <c r="HD192" s="17"/>
      <c r="HE192" s="17"/>
      <c r="HF192" s="17"/>
      <c r="HG192" s="17"/>
      <c r="HH192" s="17"/>
      <c r="HI192" s="17"/>
      <c r="HJ192" s="17"/>
      <c r="HK192" s="17"/>
      <c r="HL192" s="17"/>
      <c r="HM192" s="17"/>
      <c r="HN192" s="17"/>
      <c r="HO192" s="17"/>
      <c r="HP192" s="17"/>
      <c r="HQ192" s="17"/>
      <c r="HR192" s="17"/>
      <c r="HS192" s="17"/>
      <c r="HT192" s="17"/>
      <c r="HU192" s="17"/>
      <c r="HV192" s="17"/>
      <c r="HW192" s="17"/>
      <c r="HX192" s="17"/>
      <c r="HY192" s="17"/>
      <c r="HZ192" s="17"/>
      <c r="IA192" s="17"/>
      <c r="IB192" s="17"/>
      <c r="IC192" s="17"/>
      <c r="ID192" s="17"/>
      <c r="IE192" s="17"/>
      <c r="IF192" s="17"/>
      <c r="IG192" s="17"/>
      <c r="IH192" s="17"/>
      <c r="II192" s="17"/>
      <c r="IJ192" s="17"/>
      <c r="IK192" s="17"/>
      <c r="IL192" s="17"/>
      <c r="IM192" s="17"/>
      <c r="IN192" s="17"/>
      <c r="IO192" s="17"/>
      <c r="IP192" s="17"/>
      <c r="IQ192" s="17"/>
      <c r="IR192" s="17"/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7"/>
      <c r="KG192" s="17"/>
      <c r="KH192" s="17"/>
      <c r="KI192" s="17"/>
      <c r="KJ192" s="17"/>
      <c r="KK192" s="17"/>
      <c r="KL192" s="17"/>
      <c r="KM192" s="17"/>
      <c r="KN192" s="17"/>
      <c r="KO192" s="17"/>
      <c r="KP192" s="17"/>
      <c r="KQ192" s="17"/>
      <c r="KR192" s="17"/>
      <c r="KS192" s="17"/>
      <c r="KT192" s="17"/>
      <c r="KU192" s="17"/>
      <c r="KV192" s="17"/>
      <c r="KW192" s="17"/>
      <c r="KX192" s="17"/>
      <c r="KY192" s="17"/>
      <c r="KZ192" s="17"/>
      <c r="LA192" s="17"/>
      <c r="LB192" s="17"/>
      <c r="LC192" s="17"/>
      <c r="LD192" s="17"/>
      <c r="LE192" s="17"/>
      <c r="LF192" s="17"/>
      <c r="LG192" s="17"/>
      <c r="LH192" s="17"/>
      <c r="LI192" s="17"/>
      <c r="LJ192" s="17"/>
      <c r="LK192" s="17"/>
      <c r="LL192" s="17"/>
      <c r="LM192" s="17"/>
      <c r="LN192" s="17"/>
      <c r="LO192" s="17"/>
      <c r="LP192" s="17"/>
      <c r="LQ192" s="17"/>
      <c r="LR192" s="17"/>
      <c r="LS192" s="17"/>
      <c r="LT192" s="17"/>
      <c r="LU192" s="17"/>
      <c r="LV192" s="17"/>
      <c r="LW192" s="17"/>
      <c r="LX192" s="17"/>
      <c r="LY192" s="17"/>
      <c r="LZ192" s="17"/>
      <c r="MA192" s="17"/>
      <c r="MB192" s="17"/>
      <c r="MC192" s="17"/>
      <c r="MD192" s="17"/>
      <c r="ME192" s="17"/>
      <c r="MF192" s="17"/>
      <c r="MG192" s="17"/>
      <c r="MH192" s="17"/>
      <c r="MI192" s="17"/>
      <c r="MJ192" s="17"/>
      <c r="MK192" s="17"/>
      <c r="ML192" s="17"/>
      <c r="MM192" s="17"/>
      <c r="MN192" s="17"/>
      <c r="MO192" s="17"/>
      <c r="MP192" s="17"/>
      <c r="MQ192" s="17"/>
      <c r="MR192" s="17"/>
      <c r="MS192" s="17"/>
      <c r="MT192" s="17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  <c r="NX192" s="17"/>
      <c r="NY192" s="17"/>
      <c r="NZ192" s="17"/>
      <c r="OA192" s="17"/>
      <c r="OB192" s="17"/>
      <c r="OC192" s="17"/>
      <c r="OD192" s="17"/>
      <c r="OE192" s="17"/>
      <c r="OF192" s="17"/>
      <c r="OG192" s="17"/>
      <c r="OH192" s="17"/>
      <c r="OI192" s="17"/>
      <c r="OJ192" s="17"/>
      <c r="OK192" s="17"/>
      <c r="OL192" s="17"/>
      <c r="OM192" s="17"/>
      <c r="ON192" s="17"/>
      <c r="OO192" s="17"/>
      <c r="OP192" s="17"/>
      <c r="OQ192" s="17"/>
      <c r="OR192" s="17"/>
      <c r="OS192" s="17"/>
      <c r="OT192" s="17"/>
      <c r="OU192" s="17"/>
      <c r="OV192" s="17"/>
      <c r="OW192" s="17"/>
      <c r="OX192" s="17"/>
      <c r="OY192" s="17"/>
      <c r="OZ192" s="17"/>
      <c r="PA192" s="17"/>
      <c r="PB192" s="17"/>
      <c r="PC192" s="17"/>
      <c r="PD192" s="17"/>
      <c r="PE192" s="17"/>
      <c r="PF192" s="17"/>
      <c r="PG192" s="17"/>
      <c r="PH192" s="17"/>
      <c r="PI192" s="17"/>
      <c r="PJ192" s="17"/>
      <c r="PK192" s="17"/>
      <c r="PL192" s="17"/>
      <c r="PM192" s="17"/>
      <c r="PN192" s="17"/>
      <c r="PO192" s="17"/>
      <c r="PP192" s="17"/>
      <c r="PQ192" s="17"/>
      <c r="PR192" s="17"/>
      <c r="PS192" s="17"/>
      <c r="PT192" s="17"/>
      <c r="PU192" s="17"/>
      <c r="PV192" s="17"/>
      <c r="PW192" s="17"/>
      <c r="PX192" s="17"/>
      <c r="PY192" s="17"/>
      <c r="PZ192" s="17"/>
      <c r="QA192" s="17"/>
      <c r="QB192" s="17"/>
      <c r="QC192" s="17"/>
      <c r="QD192" s="17"/>
      <c r="QE192" s="17"/>
      <c r="QF192" s="17"/>
      <c r="QG192" s="17"/>
      <c r="QH192" s="17"/>
      <c r="QI192" s="17"/>
      <c r="QJ192" s="17"/>
      <c r="QK192" s="17"/>
      <c r="QL192" s="17"/>
      <c r="QM192" s="17"/>
      <c r="QN192" s="17"/>
      <c r="QO192" s="17"/>
      <c r="QP192" s="17"/>
      <c r="QQ192" s="17"/>
      <c r="QR192" s="17"/>
      <c r="QS192" s="17"/>
      <c r="QT192" s="17"/>
      <c r="QU192" s="17"/>
      <c r="QV192" s="17"/>
      <c r="QW192" s="17"/>
      <c r="QX192" s="17"/>
      <c r="QY192" s="17"/>
      <c r="QZ192" s="17"/>
      <c r="RA192" s="17"/>
      <c r="RB192" s="17"/>
      <c r="RC192" s="17"/>
      <c r="RD192" s="17"/>
      <c r="RE192" s="17"/>
      <c r="RF192" s="17"/>
      <c r="RG192" s="17"/>
      <c r="RH192" s="17"/>
      <c r="RI192" s="17"/>
      <c r="RJ192" s="17"/>
      <c r="RK192" s="17"/>
      <c r="RL192" s="17"/>
      <c r="RM192" s="17"/>
      <c r="RN192" s="17"/>
      <c r="RO192" s="17"/>
      <c r="RP192" s="17"/>
      <c r="RQ192" s="17"/>
      <c r="RR192" s="17"/>
      <c r="RS192" s="17"/>
      <c r="RT192" s="17"/>
      <c r="RU192" s="17"/>
      <c r="RV192" s="17"/>
      <c r="RW192" s="17"/>
      <c r="RX192" s="17"/>
      <c r="RY192" s="17"/>
      <c r="RZ192" s="17"/>
      <c r="SA192" s="17"/>
      <c r="SB192" s="17"/>
      <c r="SC192" s="17"/>
      <c r="SD192" s="17"/>
      <c r="SE192" s="17"/>
      <c r="SF192" s="17"/>
      <c r="SG192" s="17"/>
      <c r="SH192" s="17"/>
      <c r="SI192" s="17"/>
      <c r="SJ192" s="17"/>
      <c r="SK192" s="17"/>
      <c r="SL192" s="17"/>
      <c r="SM192" s="17"/>
      <c r="SN192" s="17"/>
      <c r="SO192" s="17"/>
      <c r="SP192" s="17"/>
      <c r="SQ192" s="17"/>
      <c r="SR192" s="17"/>
      <c r="SS192" s="17"/>
      <c r="ST192" s="17"/>
      <c r="SU192" s="17"/>
      <c r="SV192" s="17"/>
      <c r="SW192" s="17"/>
      <c r="SX192" s="17"/>
      <c r="SY192" s="17"/>
      <c r="SZ192" s="17"/>
      <c r="TA192" s="17"/>
      <c r="TB192" s="17"/>
      <c r="TC192" s="17"/>
      <c r="TD192" s="17"/>
      <c r="TE192" s="17"/>
      <c r="TF192" s="17"/>
      <c r="TG192" s="17"/>
      <c r="TH192" s="17"/>
      <c r="TI192" s="17"/>
      <c r="TJ192" s="17"/>
      <c r="TK192" s="17"/>
      <c r="TL192" s="17"/>
      <c r="TM192" s="17"/>
      <c r="TN192" s="17"/>
      <c r="TO192" s="17"/>
      <c r="TP192" s="17"/>
      <c r="TQ192" s="17"/>
      <c r="TR192" s="17"/>
      <c r="TS192" s="17"/>
      <c r="TT192" s="17"/>
      <c r="TU192" s="17"/>
      <c r="TV192" s="17"/>
      <c r="TW192" s="17"/>
      <c r="TX192" s="17"/>
      <c r="TY192" s="17"/>
      <c r="TZ192" s="17"/>
      <c r="UA192" s="17"/>
      <c r="UB192" s="17"/>
      <c r="UC192" s="17"/>
      <c r="UD192" s="17"/>
      <c r="UE192" s="17"/>
      <c r="UF192" s="17"/>
      <c r="UG192" s="17"/>
      <c r="UH192" s="17"/>
      <c r="UI192" s="17"/>
      <c r="UJ192" s="17"/>
      <c r="UK192" s="17"/>
      <c r="UL192" s="17"/>
      <c r="UM192" s="17"/>
      <c r="UN192" s="17"/>
      <c r="UO192" s="17"/>
      <c r="UP192" s="17"/>
      <c r="UQ192" s="17"/>
      <c r="UR192" s="17"/>
      <c r="US192" s="17"/>
      <c r="UT192" s="17"/>
      <c r="UU192" s="17"/>
      <c r="UV192" s="17"/>
      <c r="UW192" s="17"/>
      <c r="UX192" s="17"/>
      <c r="UY192" s="17"/>
      <c r="UZ192" s="17"/>
      <c r="VA192" s="17"/>
      <c r="VB192" s="17"/>
      <c r="VC192" s="17"/>
      <c r="VD192" s="17"/>
      <c r="VE192" s="17"/>
      <c r="VF192" s="17"/>
      <c r="VG192" s="17"/>
      <c r="VH192" s="17"/>
      <c r="VI192" s="17"/>
      <c r="VJ192" s="17"/>
      <c r="VK192" s="17"/>
      <c r="VL192" s="17"/>
      <c r="VM192" s="17"/>
      <c r="VN192" s="17"/>
      <c r="VO192" s="17"/>
      <c r="VP192" s="17"/>
      <c r="VQ192" s="17"/>
      <c r="VR192" s="17"/>
      <c r="VS192" s="17"/>
      <c r="VT192" s="17"/>
      <c r="VU192" s="17"/>
      <c r="VV192" s="17"/>
      <c r="VW192" s="17"/>
      <c r="VX192" s="17"/>
      <c r="VY192" s="17"/>
      <c r="VZ192" s="17"/>
      <c r="WA192" s="17"/>
      <c r="WB192" s="17"/>
      <c r="WC192" s="17"/>
      <c r="WD192" s="17"/>
      <c r="WE192" s="17"/>
      <c r="WF192" s="17"/>
      <c r="WG192" s="17"/>
      <c r="WH192" s="17"/>
      <c r="WI192" s="17"/>
      <c r="WJ192" s="17"/>
      <c r="WK192" s="17"/>
      <c r="WL192" s="17"/>
      <c r="WM192" s="17"/>
      <c r="WN192" s="17"/>
      <c r="WO192" s="17"/>
      <c r="WP192" s="17"/>
      <c r="WQ192" s="17"/>
      <c r="WR192" s="17"/>
      <c r="WS192" s="17"/>
      <c r="WT192" s="17"/>
      <c r="WU192" s="17"/>
      <c r="WV192" s="17"/>
      <c r="WW192" s="17"/>
      <c r="WX192" s="17"/>
      <c r="WY192" s="17"/>
      <c r="WZ192" s="17"/>
      <c r="XA192" s="17"/>
      <c r="XB192" s="17"/>
      <c r="XC192" s="17"/>
      <c r="XD192" s="17"/>
      <c r="XE192" s="17"/>
      <c r="XF192" s="17"/>
      <c r="XG192" s="17"/>
      <c r="XH192" s="17"/>
      <c r="XI192" s="17"/>
      <c r="XJ192" s="17"/>
      <c r="XK192" s="17"/>
      <c r="XL192" s="17"/>
      <c r="XM192" s="17"/>
      <c r="XN192" s="17"/>
      <c r="XO192" s="17"/>
      <c r="XP192" s="17"/>
      <c r="XQ192" s="17"/>
      <c r="XR192" s="17"/>
      <c r="XS192" s="17"/>
      <c r="XT192" s="17"/>
      <c r="XU192" s="17"/>
      <c r="XV192" s="17"/>
      <c r="XW192" s="17"/>
      <c r="XX192" s="17"/>
      <c r="XY192" s="17"/>
      <c r="XZ192" s="17"/>
      <c r="YA192" s="17"/>
      <c r="YB192" s="17"/>
      <c r="YC192" s="17"/>
      <c r="YD192" s="17"/>
      <c r="YE192" s="17"/>
      <c r="YF192" s="17"/>
      <c r="YG192" s="17"/>
      <c r="YH192" s="17"/>
      <c r="YI192" s="17"/>
      <c r="YJ192" s="17"/>
      <c r="YK192" s="17"/>
      <c r="YL192" s="17"/>
      <c r="YM192" s="17"/>
      <c r="YN192" s="17"/>
      <c r="YO192" s="17"/>
      <c r="YP192" s="17"/>
      <c r="YQ192" s="17"/>
      <c r="YR192" s="17"/>
      <c r="YS192" s="17"/>
      <c r="YT192" s="17"/>
      <c r="YU192" s="17"/>
      <c r="YV192" s="17"/>
      <c r="YW192" s="17"/>
      <c r="YX192" s="17"/>
      <c r="YY192" s="17"/>
      <c r="YZ192" s="17"/>
      <c r="ZA192" s="17"/>
      <c r="ZB192" s="17"/>
      <c r="ZC192" s="17"/>
      <c r="ZD192" s="17"/>
      <c r="ZE192" s="17"/>
      <c r="ZF192" s="17"/>
      <c r="ZG192" s="17"/>
      <c r="ZH192" s="17"/>
      <c r="ZI192" s="17"/>
      <c r="ZJ192" s="17"/>
      <c r="ZK192" s="17"/>
      <c r="ZL192" s="17"/>
      <c r="ZM192" s="17"/>
      <c r="ZN192" s="17"/>
      <c r="ZO192" s="17"/>
      <c r="ZP192" s="17"/>
      <c r="ZQ192" s="17"/>
      <c r="ZR192" s="17"/>
      <c r="ZS192" s="17"/>
      <c r="ZT192" s="17"/>
      <c r="ZU192" s="17"/>
      <c r="ZV192" s="17"/>
      <c r="ZW192" s="17"/>
      <c r="ZX192" s="17"/>
      <c r="ZY192" s="17"/>
      <c r="ZZ192" s="17"/>
      <c r="AAA192" s="17"/>
      <c r="AAB192" s="17"/>
      <c r="AAC192" s="17"/>
      <c r="AAD192" s="17"/>
      <c r="AAE192" s="17"/>
      <c r="AAF192" s="17"/>
      <c r="AAG192" s="17"/>
      <c r="AAH192" s="17"/>
      <c r="AAI192" s="17"/>
      <c r="AAJ192" s="17"/>
      <c r="AAK192" s="17"/>
      <c r="AAL192" s="17"/>
      <c r="AAM192" s="17"/>
      <c r="AAN192" s="17"/>
      <c r="AAO192" s="17"/>
      <c r="AAP192" s="17"/>
      <c r="AAQ192" s="17"/>
      <c r="AAR192" s="17"/>
      <c r="AAS192" s="17"/>
      <c r="AAT192" s="17"/>
      <c r="AAU192" s="17"/>
      <c r="AAV192" s="17"/>
      <c r="AAW192" s="17"/>
      <c r="AAX192" s="17"/>
      <c r="AAY192" s="17"/>
      <c r="AAZ192" s="17"/>
      <c r="ABA192" s="17"/>
      <c r="ABB192" s="17"/>
      <c r="ABC192" s="17"/>
      <c r="ABD192" s="17"/>
      <c r="ABE192" s="17"/>
      <c r="ABF192" s="17"/>
      <c r="ABG192" s="17"/>
      <c r="ABH192" s="17"/>
      <c r="ABI192" s="17"/>
      <c r="ABJ192" s="17"/>
      <c r="ABK192" s="17"/>
      <c r="ABL192" s="17"/>
      <c r="ABM192" s="17"/>
      <c r="ABN192" s="17"/>
      <c r="ABO192" s="17"/>
      <c r="ABP192" s="17"/>
      <c r="ABQ192" s="17"/>
      <c r="ABR192" s="17"/>
      <c r="ABS192" s="17"/>
      <c r="ABT192" s="17"/>
      <c r="ABU192" s="17"/>
      <c r="ABV192" s="17"/>
      <c r="ABW192" s="17"/>
      <c r="ABX192" s="17"/>
      <c r="ABY192" s="17"/>
      <c r="ABZ192" s="17"/>
      <c r="ACA192" s="17"/>
      <c r="ACB192" s="17"/>
      <c r="ACC192" s="17"/>
      <c r="ACD192" s="17"/>
      <c r="ACE192" s="17"/>
      <c r="ACF192" s="17"/>
      <c r="ACG192" s="17"/>
      <c r="ACH192" s="17"/>
      <c r="ACI192" s="17"/>
      <c r="ACJ192" s="17"/>
      <c r="ACK192" s="17"/>
      <c r="ACL192" s="17"/>
      <c r="ACM192" s="17"/>
      <c r="ACN192" s="17"/>
      <c r="ACO192" s="17"/>
      <c r="ACP192" s="17"/>
      <c r="ACQ192" s="17"/>
      <c r="ACR192" s="17"/>
      <c r="ACS192" s="17"/>
      <c r="ACT192" s="17"/>
      <c r="ACU192" s="17"/>
      <c r="ACV192" s="17"/>
      <c r="ACW192" s="17"/>
      <c r="ACX192" s="17"/>
      <c r="ACY192" s="17"/>
      <c r="ACZ192" s="17"/>
      <c r="ADA192" s="17"/>
      <c r="ADB192" s="17"/>
      <c r="ADC192" s="17"/>
      <c r="ADD192" s="17"/>
      <c r="ADE192" s="17"/>
      <c r="ADF192" s="17"/>
      <c r="ADG192" s="17"/>
      <c r="ADH192" s="17"/>
      <c r="ADI192" s="17"/>
      <c r="ADJ192" s="17"/>
      <c r="ADK192" s="17"/>
      <c r="ADL192" s="17"/>
      <c r="ADM192" s="17"/>
      <c r="ADN192" s="17"/>
      <c r="ADO192" s="17"/>
      <c r="ADP192" s="17"/>
      <c r="ADQ192" s="17"/>
      <c r="ADR192" s="17"/>
      <c r="ADS192" s="17"/>
      <c r="ADT192" s="17"/>
      <c r="ADU192" s="17"/>
      <c r="ADV192" s="17"/>
      <c r="ADW192" s="17"/>
      <c r="ADX192" s="17"/>
      <c r="ADY192" s="17"/>
      <c r="ADZ192" s="17"/>
      <c r="AEA192" s="17"/>
      <c r="AEB192" s="17"/>
      <c r="AEC192" s="17"/>
      <c r="AED192" s="17"/>
      <c r="AEE192" s="17"/>
      <c r="AEF192" s="17"/>
      <c r="AEG192" s="17"/>
      <c r="AEH192" s="17"/>
      <c r="AEI192" s="17"/>
      <c r="AEJ192" s="17"/>
      <c r="AEK192" s="17"/>
      <c r="AEL192" s="17"/>
      <c r="AEM192" s="17"/>
      <c r="AEN192" s="17"/>
      <c r="AEO192" s="17"/>
      <c r="AEP192" s="17"/>
      <c r="AEQ192" s="17"/>
      <c r="AER192" s="17"/>
      <c r="AES192" s="17"/>
      <c r="AET192" s="17"/>
      <c r="AEU192" s="17"/>
      <c r="AEV192" s="17"/>
      <c r="AEW192" s="17"/>
      <c r="AEX192" s="17"/>
      <c r="AEY192" s="17"/>
      <c r="AEZ192" s="17"/>
      <c r="AFA192" s="17"/>
      <c r="AFB192" s="17"/>
      <c r="AFC192" s="17"/>
      <c r="AFD192" s="17"/>
      <c r="AFE192" s="17"/>
      <c r="AFF192" s="17"/>
      <c r="AFG192" s="17"/>
      <c r="AFH192" s="17"/>
      <c r="AFI192" s="17"/>
      <c r="AFJ192" s="17"/>
      <c r="AFK192" s="17"/>
      <c r="AFL192" s="17"/>
      <c r="AFM192" s="17"/>
      <c r="AFN192" s="17"/>
      <c r="AFO192" s="17"/>
      <c r="AFP192" s="17"/>
      <c r="AFQ192" s="17"/>
      <c r="AFR192" s="17"/>
      <c r="AFS192" s="17"/>
      <c r="AFT192" s="17"/>
      <c r="AFU192" s="17"/>
      <c r="AFV192" s="17"/>
      <c r="AFW192" s="17"/>
      <c r="AFX192" s="17"/>
      <c r="AFY192" s="17"/>
      <c r="AFZ192" s="17"/>
      <c r="AGA192" s="17"/>
      <c r="AGB192" s="17"/>
      <c r="AGC192" s="17"/>
      <c r="AGD192" s="17"/>
      <c r="AGE192" s="17"/>
      <c r="AGF192" s="17"/>
      <c r="AGG192" s="17"/>
      <c r="AGH192" s="17"/>
      <c r="AGI192" s="17"/>
      <c r="AGJ192" s="17"/>
      <c r="AGK192" s="17"/>
      <c r="AGL192" s="17"/>
      <c r="AGM192" s="17"/>
      <c r="AGN192" s="17"/>
      <c r="AGO192" s="17"/>
      <c r="AGP192" s="17"/>
      <c r="AGQ192" s="17"/>
      <c r="AGR192" s="17"/>
      <c r="AGS192" s="17"/>
      <c r="AGT192" s="17"/>
      <c r="AGU192" s="17"/>
      <c r="AGV192" s="17"/>
      <c r="AGW192" s="17"/>
      <c r="AGX192" s="17"/>
      <c r="AGY192" s="17"/>
      <c r="AGZ192" s="17"/>
      <c r="AHA192" s="17"/>
      <c r="AHB192" s="17"/>
      <c r="AHC192" s="17"/>
      <c r="AHD192" s="17"/>
      <c r="AHE192" s="17"/>
      <c r="AHF192" s="17"/>
      <c r="AHG192" s="17"/>
      <c r="AHH192" s="17"/>
      <c r="AHI192" s="17"/>
      <c r="AHJ192" s="17"/>
      <c r="AHK192" s="17"/>
      <c r="AHL192" s="17"/>
      <c r="AHM192" s="17"/>
      <c r="AHN192" s="17"/>
      <c r="AHO192" s="17"/>
      <c r="AHP192" s="17"/>
      <c r="AHQ192" s="17"/>
      <c r="AHR192" s="17"/>
      <c r="AHS192" s="17"/>
      <c r="AHT192" s="17"/>
      <c r="AHU192" s="17"/>
      <c r="AHV192" s="17"/>
      <c r="AHW192" s="17"/>
      <c r="AHX192" s="17"/>
      <c r="AHY192" s="17"/>
      <c r="AHZ192" s="17"/>
      <c r="AIA192" s="17"/>
      <c r="AIB192" s="17"/>
      <c r="AIC192" s="17"/>
      <c r="AID192" s="17"/>
      <c r="AIE192" s="17"/>
      <c r="AIF192" s="17"/>
      <c r="AIG192" s="17"/>
      <c r="AIH192" s="17"/>
      <c r="AII192" s="17"/>
      <c r="AIJ192" s="17"/>
      <c r="AIK192" s="17"/>
      <c r="AIL192" s="17"/>
      <c r="AIM192" s="17"/>
      <c r="AIN192" s="17"/>
      <c r="AIO192" s="17"/>
      <c r="AIP192" s="17"/>
      <c r="AIQ192" s="17"/>
      <c r="AIR192" s="17"/>
      <c r="AIS192" s="17"/>
      <c r="AIT192" s="17"/>
      <c r="AIU192" s="17"/>
      <c r="AIV192" s="17"/>
      <c r="AIW192" s="17"/>
      <c r="AIX192" s="17"/>
      <c r="AIY192" s="17"/>
      <c r="AIZ192" s="17"/>
      <c r="AJA192" s="17"/>
      <c r="AJB192" s="17"/>
      <c r="AJC192" s="17"/>
      <c r="AJD192" s="17"/>
      <c r="AJE192" s="17"/>
      <c r="AJF192" s="17"/>
      <c r="AJG192" s="17"/>
      <c r="AJH192" s="17"/>
      <c r="AJI192" s="17"/>
      <c r="AJJ192" s="17"/>
      <c r="AJK192" s="17"/>
      <c r="AJL192" s="17"/>
      <c r="AJM192" s="17"/>
      <c r="AJN192" s="17"/>
      <c r="AJO192" s="17"/>
      <c r="AJP192" s="17"/>
      <c r="AJQ192" s="17"/>
      <c r="AJR192" s="17"/>
      <c r="AJS192" s="17"/>
      <c r="AJT192" s="17"/>
      <c r="AJU192" s="17"/>
      <c r="AJV192" s="17"/>
      <c r="AJW192" s="17"/>
      <c r="AJX192" s="17"/>
      <c r="AJY192" s="17"/>
      <c r="AJZ192" s="17"/>
      <c r="AKA192" s="17"/>
      <c r="AKB192" s="17"/>
      <c r="AKC192" s="17"/>
      <c r="AKD192" s="17"/>
      <c r="AKE192" s="17"/>
      <c r="AKF192" s="17"/>
      <c r="AKG192" s="17"/>
      <c r="AKH192" s="17"/>
      <c r="AKI192" s="17"/>
      <c r="AKJ192" s="17"/>
      <c r="AKK192" s="17"/>
      <c r="AKL192" s="17"/>
      <c r="AKM192" s="17"/>
      <c r="AKN192" s="17"/>
      <c r="AKO192" s="17"/>
      <c r="AKP192" s="17"/>
      <c r="AKQ192" s="17"/>
      <c r="AKR192" s="17"/>
      <c r="AKS192" s="17"/>
      <c r="AKT192" s="17"/>
      <c r="AKU192" s="17"/>
      <c r="AKV192" s="17"/>
      <c r="AKW192" s="17"/>
      <c r="AKX192" s="17"/>
      <c r="AKY192" s="17"/>
      <c r="AKZ192" s="17"/>
      <c r="ALA192" s="17"/>
      <c r="ALB192" s="17"/>
      <c r="ALC192" s="17"/>
      <c r="ALD192" s="17"/>
      <c r="ALE192" s="17"/>
      <c r="ALF192" s="17"/>
      <c r="ALG192" s="17"/>
      <c r="ALH192" s="17"/>
      <c r="ALI192" s="17"/>
      <c r="ALJ192" s="17"/>
      <c r="ALK192" s="17"/>
      <c r="ALL192" s="17"/>
      <c r="ALM192" s="17"/>
      <c r="ALN192" s="17"/>
      <c r="ALO192" s="17"/>
      <c r="ALP192" s="17"/>
      <c r="ALQ192" s="17"/>
      <c r="ALR192" s="17"/>
      <c r="ALS192" s="17"/>
      <c r="ALT192" s="17"/>
      <c r="ALU192" s="17"/>
      <c r="ALV192" s="17"/>
      <c r="ALW192" s="17"/>
      <c r="ALX192" s="17"/>
      <c r="ALY192" s="17"/>
      <c r="ALZ192" s="17"/>
      <c r="AMA192" s="17"/>
      <c r="AMB192" s="17"/>
      <c r="AMC192" s="17"/>
      <c r="AMD192" s="17"/>
      <c r="AME192" s="17"/>
      <c r="AMF192" s="17"/>
      <c r="AMG192" s="17"/>
      <c r="AMH192" s="17"/>
      <c r="AMI192" s="17"/>
      <c r="AMJ192" s="17"/>
      <c r="AMK192" s="17"/>
      <c r="AML192" s="17"/>
      <c r="AMM192" s="17"/>
      <c r="AMN192" s="17"/>
      <c r="AMO192" s="17"/>
      <c r="AMP192" s="17"/>
      <c r="AMQ192" s="17"/>
      <c r="AMR192" s="17"/>
      <c r="AMS192" s="17"/>
      <c r="AMT192" s="17"/>
      <c r="AMU192" s="17"/>
      <c r="AMV192" s="17"/>
      <c r="AMW192" s="17"/>
      <c r="AMX192" s="17"/>
      <c r="AMY192" s="17"/>
      <c r="AMZ192" s="17"/>
      <c r="ANA192" s="17"/>
      <c r="ANB192" s="17"/>
      <c r="ANC192" s="17"/>
      <c r="AND192" s="17"/>
      <c r="ANE192" s="17"/>
      <c r="ANF192" s="17"/>
      <c r="ANG192" s="17"/>
      <c r="ANH192" s="17"/>
      <c r="ANI192" s="17"/>
      <c r="ANJ192" s="17"/>
      <c r="ANK192" s="17"/>
      <c r="ANL192" s="17"/>
      <c r="ANM192" s="17"/>
      <c r="ANN192" s="17"/>
      <c r="ANO192" s="17"/>
      <c r="ANP192" s="17"/>
      <c r="ANQ192" s="17"/>
      <c r="ANR192" s="17"/>
      <c r="ANS192" s="17"/>
      <c r="ANT192" s="17"/>
      <c r="ANU192" s="17"/>
      <c r="ANV192" s="17"/>
      <c r="ANW192" s="17"/>
      <c r="ANX192" s="17"/>
      <c r="ANY192" s="17"/>
      <c r="ANZ192" s="17"/>
      <c r="AOA192" s="17"/>
      <c r="AOB192" s="17"/>
      <c r="AOC192" s="17"/>
      <c r="AOD192" s="17"/>
      <c r="AOE192" s="17"/>
      <c r="AOF192" s="17"/>
      <c r="AOG192" s="17"/>
      <c r="AOH192" s="17"/>
      <c r="AOI192" s="17"/>
      <c r="AOJ192" s="17"/>
      <c r="AOK192" s="17"/>
      <c r="AOL192" s="17"/>
      <c r="AOM192" s="17"/>
      <c r="AON192" s="17"/>
      <c r="AOO192" s="17"/>
      <c r="AOP192" s="17"/>
      <c r="AOQ192" s="17"/>
      <c r="AOR192" s="17"/>
      <c r="AOS192" s="17"/>
      <c r="AOT192" s="17"/>
      <c r="AOU192" s="17"/>
      <c r="AOV192" s="17"/>
      <c r="AOW192" s="17"/>
      <c r="AOX192" s="17"/>
      <c r="AOY192" s="17"/>
      <c r="AOZ192" s="17"/>
      <c r="APA192" s="17"/>
      <c r="APB192" s="17"/>
      <c r="APC192" s="17"/>
      <c r="APD192" s="17"/>
      <c r="APE192" s="17"/>
      <c r="APF192" s="17"/>
      <c r="APG192" s="17"/>
      <c r="APH192" s="17"/>
      <c r="API192" s="17"/>
      <c r="APJ192" s="17"/>
      <c r="APK192" s="17"/>
      <c r="APL192" s="17"/>
      <c r="APM192" s="17"/>
      <c r="APN192" s="17"/>
      <c r="APO192" s="17"/>
      <c r="APP192" s="17"/>
      <c r="APQ192" s="17"/>
      <c r="APR192" s="17"/>
      <c r="APS192" s="17"/>
      <c r="APT192" s="17"/>
      <c r="APU192" s="17"/>
      <c r="APV192" s="17"/>
      <c r="APW192" s="17"/>
      <c r="APX192" s="17"/>
      <c r="APY192" s="17"/>
      <c r="APZ192" s="17"/>
      <c r="AQA192" s="17"/>
      <c r="AQB192" s="17"/>
      <c r="AQC192" s="17"/>
      <c r="AQD192" s="17"/>
      <c r="AQE192" s="17"/>
      <c r="AQF192" s="17"/>
      <c r="AQG192" s="17"/>
      <c r="AQH192" s="17"/>
      <c r="AQI192" s="17"/>
      <c r="AQJ192" s="17"/>
      <c r="AQK192" s="17"/>
      <c r="AQL192" s="17"/>
      <c r="AQM192" s="17"/>
      <c r="AQN192" s="17"/>
      <c r="AQO192" s="17"/>
      <c r="AQP192" s="17"/>
      <c r="AQQ192" s="17"/>
      <c r="AQR192" s="17"/>
      <c r="AQS192" s="17"/>
      <c r="AQT192" s="17"/>
      <c r="AQU192" s="17"/>
      <c r="AQV192" s="17"/>
      <c r="AQW192" s="17"/>
      <c r="AQX192" s="17"/>
      <c r="AQY192" s="17"/>
      <c r="AQZ192" s="17"/>
      <c r="ARA192" s="17"/>
      <c r="ARB192" s="17"/>
      <c r="ARC192" s="17"/>
      <c r="ARD192" s="17"/>
      <c r="ARE192" s="17"/>
      <c r="ARF192" s="17"/>
      <c r="ARG192" s="17"/>
      <c r="ARH192" s="17"/>
      <c r="ARI192" s="17"/>
      <c r="ARJ192" s="17"/>
      <c r="ARK192" s="17"/>
      <c r="ARL192" s="17"/>
      <c r="ARM192" s="17"/>
      <c r="ARN192" s="17"/>
      <c r="ARO192" s="17"/>
      <c r="ARP192" s="17"/>
      <c r="ARQ192" s="17"/>
      <c r="ARR192" s="17"/>
      <c r="ARS192" s="17"/>
      <c r="ART192" s="17"/>
      <c r="ARU192" s="17"/>
      <c r="ARV192" s="17"/>
      <c r="ARW192" s="17"/>
      <c r="ARX192" s="17"/>
      <c r="ARY192" s="17"/>
      <c r="ARZ192" s="17"/>
      <c r="ASA192" s="17"/>
      <c r="ASB192" s="17"/>
      <c r="ASC192" s="17"/>
      <c r="ASD192" s="17"/>
      <c r="ASE192" s="17"/>
      <c r="ASF192" s="17"/>
      <c r="ASG192" s="17"/>
      <c r="ASH192" s="17"/>
      <c r="ASI192" s="17"/>
      <c r="ASJ192" s="17"/>
      <c r="ASK192" s="17"/>
      <c r="ASL192" s="17"/>
      <c r="ASM192" s="17"/>
      <c r="ASN192" s="17"/>
      <c r="ASO192" s="17"/>
      <c r="ASP192" s="17"/>
      <c r="ASQ192" s="17"/>
      <c r="ASR192" s="17"/>
      <c r="ASS192" s="17"/>
      <c r="AST192" s="17"/>
      <c r="ASU192" s="17"/>
      <c r="ASV192" s="17"/>
      <c r="ASW192" s="17"/>
      <c r="ASX192" s="17"/>
      <c r="ASY192" s="17"/>
      <c r="ASZ192" s="17"/>
      <c r="ATA192" s="17"/>
      <c r="ATB192" s="17"/>
      <c r="ATC192" s="17"/>
      <c r="ATD192" s="17"/>
      <c r="ATE192" s="17"/>
      <c r="ATF192" s="17"/>
      <c r="ATG192" s="17"/>
      <c r="ATH192" s="17"/>
      <c r="ATI192" s="17"/>
      <c r="ATJ192" s="17"/>
      <c r="ATK192" s="17"/>
      <c r="ATL192" s="17"/>
      <c r="ATM192" s="17"/>
      <c r="ATN192" s="17"/>
      <c r="ATO192" s="17"/>
      <c r="ATP192" s="17"/>
      <c r="ATQ192" s="17"/>
      <c r="ATR192" s="17"/>
      <c r="ATS192" s="17"/>
      <c r="ATT192" s="17"/>
      <c r="ATU192" s="17"/>
      <c r="ATV192" s="17"/>
      <c r="ATW192" s="17"/>
      <c r="ATX192" s="17"/>
      <c r="ATY192" s="17"/>
      <c r="ATZ192" s="17"/>
      <c r="AUA192" s="17"/>
      <c r="AUB192" s="17"/>
      <c r="AUC192" s="17"/>
      <c r="AUD192" s="17"/>
      <c r="AUE192" s="17"/>
      <c r="AUF192" s="17"/>
      <c r="AUG192" s="17"/>
      <c r="AUH192" s="17"/>
      <c r="AUI192" s="17"/>
      <c r="AUJ192" s="17"/>
      <c r="AUK192" s="17"/>
      <c r="AUL192" s="17"/>
      <c r="AUM192" s="17"/>
      <c r="AUN192" s="17"/>
      <c r="AUO192" s="17"/>
      <c r="AUP192" s="17"/>
      <c r="AUQ192" s="17"/>
      <c r="AUR192" s="17"/>
      <c r="AUS192" s="17"/>
      <c r="AUT192" s="17"/>
      <c r="AUU192" s="17"/>
      <c r="AUV192" s="17"/>
      <c r="AUW192" s="17"/>
      <c r="AUX192" s="17"/>
      <c r="AUY192" s="17"/>
      <c r="AUZ192" s="17"/>
      <c r="AVA192" s="17"/>
      <c r="AVB192" s="17"/>
      <c r="AVC192" s="17"/>
      <c r="AVD192" s="17"/>
      <c r="AVE192" s="17"/>
      <c r="AVF192" s="17"/>
      <c r="AVG192" s="17"/>
      <c r="AVH192" s="17"/>
      <c r="AVI192" s="17"/>
      <c r="AVJ192" s="17"/>
      <c r="AVK192" s="17"/>
      <c r="AVL192" s="17"/>
      <c r="AVM192" s="17"/>
      <c r="AVN192" s="17"/>
      <c r="AVO192" s="17"/>
      <c r="AVP192" s="17"/>
      <c r="AVQ192" s="17"/>
      <c r="AVR192" s="17"/>
      <c r="AVS192" s="17"/>
      <c r="AVT192" s="17"/>
      <c r="AVU192" s="17"/>
      <c r="AVV192" s="17"/>
      <c r="AVW192" s="17"/>
      <c r="AVX192" s="17"/>
      <c r="AVY192" s="17"/>
      <c r="AVZ192" s="17"/>
      <c r="AWA192" s="17"/>
      <c r="AWB192" s="17"/>
      <c r="AWC192" s="17"/>
      <c r="AWD192" s="17"/>
      <c r="AWE192" s="17"/>
      <c r="AWF192" s="17"/>
      <c r="AWG192" s="17"/>
      <c r="AWH192" s="17"/>
      <c r="AWI192" s="17"/>
      <c r="AWJ192" s="17"/>
      <c r="AWK192" s="17"/>
      <c r="AWL192" s="17"/>
      <c r="AWM192" s="17"/>
      <c r="AWN192" s="17"/>
      <c r="AWO192" s="17"/>
      <c r="AWP192" s="17"/>
      <c r="AWQ192" s="17"/>
      <c r="AWR192" s="17"/>
      <c r="AWS192" s="17"/>
      <c r="AWT192" s="17"/>
      <c r="AWU192" s="17"/>
      <c r="AWV192" s="17"/>
      <c r="AWW192" s="17"/>
      <c r="AWX192" s="17"/>
      <c r="AWY192" s="17"/>
      <c r="AWZ192" s="17"/>
      <c r="AXA192" s="17"/>
      <c r="AXB192" s="17"/>
      <c r="AXC192" s="17"/>
      <c r="AXD192" s="17"/>
      <c r="AXE192" s="17"/>
      <c r="AXF192" s="17"/>
      <c r="AXG192" s="17"/>
      <c r="AXH192" s="17"/>
      <c r="AXI192" s="17"/>
      <c r="AXJ192" s="17"/>
      <c r="AXK192" s="17"/>
      <c r="AXL192" s="17"/>
      <c r="AXM192" s="17"/>
      <c r="AXN192" s="17"/>
      <c r="AXO192" s="17"/>
      <c r="AXP192" s="17"/>
      <c r="AXQ192" s="17"/>
      <c r="AXR192" s="17"/>
      <c r="AXS192" s="17"/>
      <c r="AXT192" s="17"/>
      <c r="AXU192" s="17"/>
      <c r="AXV192" s="17"/>
      <c r="AXW192" s="17"/>
      <c r="AXX192" s="17"/>
      <c r="AXY192" s="17"/>
      <c r="AXZ192" s="17"/>
      <c r="AYA192" s="17"/>
      <c r="AYB192" s="17"/>
      <c r="AYC192" s="17"/>
      <c r="AYD192" s="17"/>
      <c r="AYE192" s="17"/>
      <c r="AYF192" s="17"/>
      <c r="AYG192" s="17"/>
      <c r="AYH192" s="17"/>
      <c r="AYI192" s="17"/>
      <c r="AYJ192" s="17"/>
      <c r="AYK192" s="17"/>
      <c r="AYL192" s="17"/>
      <c r="AYM192" s="17"/>
      <c r="AYN192" s="17"/>
      <c r="AYO192" s="17"/>
      <c r="AYP192" s="17"/>
      <c r="AYQ192" s="17"/>
      <c r="AYR192" s="17"/>
      <c r="AYS192" s="17"/>
      <c r="AYT192" s="17"/>
      <c r="AYU192" s="17"/>
      <c r="AYV192" s="17"/>
      <c r="AYW192" s="17"/>
      <c r="AYX192" s="17"/>
      <c r="AYY192" s="17"/>
      <c r="AYZ192" s="17"/>
      <c r="AZA192" s="17"/>
      <c r="AZB192" s="17"/>
      <c r="AZC192" s="17"/>
      <c r="AZD192" s="17"/>
      <c r="AZE192" s="17"/>
      <c r="AZF192" s="17"/>
      <c r="AZG192" s="17"/>
      <c r="AZH192" s="17"/>
      <c r="AZI192" s="17"/>
      <c r="AZJ192" s="17"/>
      <c r="AZK192" s="17"/>
      <c r="AZL192" s="17"/>
      <c r="AZM192" s="17"/>
      <c r="AZN192" s="17"/>
      <c r="AZO192" s="17"/>
      <c r="AZP192" s="17"/>
      <c r="AZQ192" s="17"/>
      <c r="AZR192" s="17"/>
      <c r="AZS192" s="17"/>
      <c r="AZT192" s="17"/>
      <c r="AZU192" s="17"/>
      <c r="AZV192" s="17"/>
      <c r="AZW192" s="17"/>
      <c r="AZX192" s="17"/>
      <c r="AZY192" s="17"/>
      <c r="AZZ192" s="17"/>
      <c r="BAA192" s="17"/>
      <c r="BAB192" s="17"/>
      <c r="BAC192" s="17"/>
      <c r="BAD192" s="17"/>
      <c r="BAE192" s="17"/>
      <c r="BAF192" s="17"/>
      <c r="BAG192" s="17"/>
      <c r="BAH192" s="17"/>
      <c r="BAI192" s="17"/>
      <c r="BAJ192" s="17"/>
      <c r="BAK192" s="17"/>
      <c r="BAL192" s="17"/>
      <c r="BAM192" s="17"/>
      <c r="BAN192" s="17"/>
      <c r="BAO192" s="17"/>
      <c r="BAP192" s="17"/>
      <c r="BAQ192" s="17"/>
      <c r="BAR192" s="17"/>
      <c r="BAS192" s="17"/>
      <c r="BAT192" s="17"/>
      <c r="BAU192" s="17"/>
      <c r="BAV192" s="17"/>
      <c r="BAW192" s="17"/>
      <c r="BAX192" s="17"/>
      <c r="BAY192" s="17"/>
      <c r="BAZ192" s="17"/>
      <c r="BBA192" s="17"/>
      <c r="BBB192" s="17"/>
      <c r="BBC192" s="17"/>
      <c r="BBD192" s="17"/>
      <c r="BBE192" s="17"/>
      <c r="BBF192" s="17"/>
      <c r="BBG192" s="17"/>
      <c r="BBH192" s="17"/>
      <c r="BBI192" s="17"/>
      <c r="BBJ192" s="17"/>
      <c r="BBK192" s="17"/>
      <c r="BBL192" s="17"/>
      <c r="BBM192" s="17"/>
      <c r="BBN192" s="17"/>
      <c r="BBO192" s="17"/>
      <c r="BBP192" s="17"/>
      <c r="BBQ192" s="17"/>
      <c r="BBR192" s="17"/>
      <c r="BBS192" s="17"/>
      <c r="BBT192" s="17"/>
      <c r="BBU192" s="17"/>
      <c r="BBV192" s="17"/>
      <c r="BBW192" s="17"/>
      <c r="BBX192" s="17"/>
      <c r="BBY192" s="17"/>
      <c r="BBZ192" s="17"/>
      <c r="BCA192" s="17"/>
      <c r="BCB192" s="17"/>
      <c r="BCC192" s="17"/>
      <c r="BCD192" s="17"/>
      <c r="BCE192" s="17"/>
      <c r="BCF192" s="17"/>
      <c r="BCG192" s="17"/>
      <c r="BCH192" s="17"/>
      <c r="BCI192" s="17"/>
      <c r="BCJ192" s="17"/>
      <c r="BCK192" s="17"/>
      <c r="BCL192" s="17"/>
      <c r="BCM192" s="17"/>
      <c r="BCN192" s="17"/>
      <c r="BCO192" s="17"/>
      <c r="BCP192" s="17"/>
      <c r="BCQ192" s="17"/>
      <c r="BCR192" s="17"/>
      <c r="BCS192" s="17"/>
      <c r="BCT192" s="17"/>
      <c r="BCU192" s="17"/>
      <c r="BCV192" s="17"/>
      <c r="BCW192" s="17"/>
      <c r="BCX192" s="17"/>
      <c r="BCY192" s="17"/>
      <c r="BCZ192" s="17"/>
      <c r="BDA192" s="17"/>
      <c r="BDB192" s="17"/>
      <c r="BDC192" s="17"/>
      <c r="BDD192" s="17"/>
      <c r="BDE192" s="17"/>
      <c r="BDF192" s="17"/>
      <c r="BDG192" s="17"/>
      <c r="BDH192" s="17"/>
      <c r="BDI192" s="17"/>
      <c r="BDJ192" s="17"/>
      <c r="BDK192" s="17"/>
      <c r="BDL192" s="17"/>
      <c r="BDM192" s="17"/>
      <c r="BDN192" s="17"/>
      <c r="BDO192" s="17"/>
      <c r="BDP192" s="17"/>
      <c r="BDQ192" s="17"/>
      <c r="BDR192" s="17"/>
      <c r="BDS192" s="17"/>
      <c r="BDT192" s="17"/>
      <c r="BDU192" s="17"/>
      <c r="BDV192" s="17"/>
      <c r="BDW192" s="17"/>
      <c r="BDX192" s="17"/>
      <c r="BDY192" s="17"/>
      <c r="BDZ192" s="17"/>
      <c r="BEA192" s="17"/>
      <c r="BEB192" s="17"/>
      <c r="BEC192" s="17"/>
      <c r="BED192" s="17"/>
      <c r="BEE192" s="17"/>
      <c r="BEF192" s="17"/>
      <c r="BEG192" s="17"/>
      <c r="BEH192" s="17"/>
      <c r="BEI192" s="17"/>
      <c r="BEJ192" s="17"/>
      <c r="BEK192" s="17"/>
      <c r="BEL192" s="17"/>
      <c r="BEM192" s="17"/>
      <c r="BEN192" s="17"/>
      <c r="BEO192" s="17"/>
      <c r="BEP192" s="17"/>
      <c r="BEQ192" s="17"/>
      <c r="BER192" s="17"/>
      <c r="BES192" s="17"/>
      <c r="BET192" s="17"/>
      <c r="BEU192" s="17"/>
      <c r="BEV192" s="17"/>
      <c r="BEW192" s="17"/>
      <c r="BEX192" s="17"/>
      <c r="BEY192" s="17"/>
      <c r="BEZ192" s="17"/>
      <c r="BFA192" s="17"/>
      <c r="BFB192" s="17"/>
      <c r="BFC192" s="17"/>
      <c r="BFD192" s="17"/>
      <c r="BFE192" s="17"/>
      <c r="BFF192" s="17"/>
      <c r="BFG192" s="17"/>
      <c r="BFH192" s="17"/>
      <c r="BFI192" s="17"/>
      <c r="BFJ192" s="17"/>
      <c r="BFK192" s="17"/>
      <c r="BFL192" s="17"/>
      <c r="BFM192" s="17"/>
      <c r="BFN192" s="17"/>
      <c r="BFO192" s="17"/>
      <c r="BFP192" s="17"/>
      <c r="BFQ192" s="17"/>
      <c r="BFR192" s="17"/>
      <c r="BFS192" s="17"/>
      <c r="BFT192" s="17"/>
      <c r="BFU192" s="17"/>
      <c r="BFV192" s="17"/>
      <c r="BFW192" s="17"/>
      <c r="BFX192" s="17"/>
      <c r="BFY192" s="17"/>
      <c r="BFZ192" s="17"/>
      <c r="BGA192" s="17"/>
      <c r="BGB192" s="17"/>
      <c r="BGC192" s="17"/>
      <c r="BGD192" s="17"/>
      <c r="BGE192" s="17"/>
      <c r="BGF192" s="17"/>
      <c r="BGG192" s="17"/>
      <c r="BGH192" s="17"/>
      <c r="BGI192" s="17"/>
      <c r="BGJ192" s="17"/>
      <c r="BGK192" s="17"/>
      <c r="BGL192" s="17"/>
      <c r="BGM192" s="17"/>
      <c r="BGN192" s="17"/>
      <c r="BGO192" s="17"/>
      <c r="BGP192" s="17"/>
      <c r="BGQ192" s="17"/>
      <c r="BGR192" s="17"/>
      <c r="BGS192" s="17"/>
      <c r="BGT192" s="17"/>
      <c r="BGU192" s="17"/>
      <c r="BGV192" s="17"/>
      <c r="BGW192" s="17"/>
      <c r="BGX192" s="17"/>
      <c r="BGY192" s="17"/>
      <c r="BGZ192" s="17"/>
      <c r="BHA192" s="17"/>
      <c r="BHB192" s="17"/>
      <c r="BHC192" s="17"/>
      <c r="BHD192" s="17"/>
      <c r="BHE192" s="17"/>
      <c r="BHF192" s="17"/>
      <c r="BHG192" s="17"/>
      <c r="BHH192" s="17"/>
      <c r="BHI192" s="17"/>
      <c r="BHJ192" s="17"/>
      <c r="BHK192" s="17"/>
      <c r="BHL192" s="17"/>
      <c r="BHM192" s="17"/>
      <c r="BHN192" s="17"/>
      <c r="BHO192" s="17"/>
      <c r="BHP192" s="17"/>
      <c r="BHQ192" s="17"/>
      <c r="BHR192" s="17"/>
      <c r="BHS192" s="17"/>
      <c r="BHT192" s="17"/>
      <c r="BHU192" s="17"/>
      <c r="BHV192" s="17"/>
      <c r="BHW192" s="17"/>
      <c r="BHX192" s="17"/>
      <c r="BHY192" s="17"/>
      <c r="BHZ192" s="17"/>
      <c r="BIA192" s="17"/>
      <c r="BIB192" s="17"/>
      <c r="BIC192" s="17"/>
      <c r="BID192" s="17"/>
      <c r="BIE192" s="17"/>
      <c r="BIF192" s="17"/>
      <c r="BIG192" s="17"/>
      <c r="BIH192" s="17"/>
      <c r="BII192" s="17"/>
      <c r="BIJ192" s="17"/>
      <c r="BIK192" s="17"/>
      <c r="BIL192" s="17"/>
      <c r="BIM192" s="17"/>
      <c r="BIN192" s="17"/>
      <c r="BIO192" s="17"/>
      <c r="BIP192" s="17"/>
      <c r="BIQ192" s="17"/>
      <c r="BIR192" s="17"/>
      <c r="BIS192" s="17"/>
      <c r="BIT192" s="17"/>
      <c r="BIU192" s="17"/>
      <c r="BIV192" s="17"/>
      <c r="BIW192" s="17"/>
      <c r="BIX192" s="17"/>
      <c r="BIY192" s="17"/>
      <c r="BIZ192" s="17"/>
      <c r="BJA192" s="17"/>
      <c r="BJB192" s="17"/>
      <c r="BJC192" s="17"/>
      <c r="BJD192" s="17"/>
      <c r="BJE192" s="17"/>
      <c r="BJF192" s="17"/>
      <c r="BJG192" s="17"/>
      <c r="BJH192" s="17"/>
      <c r="BJI192" s="17"/>
      <c r="BJJ192" s="17"/>
      <c r="BJK192" s="17"/>
      <c r="BJL192" s="17"/>
      <c r="BJM192" s="17"/>
      <c r="BJN192" s="17"/>
      <c r="BJO192" s="17"/>
      <c r="BJP192" s="17"/>
      <c r="BJQ192" s="17"/>
      <c r="BJR192" s="17"/>
      <c r="BJS192" s="17"/>
      <c r="BJT192" s="17"/>
      <c r="BJU192" s="17"/>
      <c r="BJV192" s="17"/>
      <c r="BJW192" s="17"/>
      <c r="BJX192" s="17"/>
      <c r="BJY192" s="17"/>
      <c r="BJZ192" s="17"/>
      <c r="BKA192" s="17"/>
      <c r="BKB192" s="17"/>
      <c r="BKC192" s="17"/>
      <c r="BKD192" s="17"/>
      <c r="BKE192" s="17"/>
      <c r="BKF192" s="17"/>
      <c r="BKG192" s="17"/>
      <c r="BKH192" s="17"/>
      <c r="BKI192" s="17"/>
      <c r="BKJ192" s="17"/>
      <c r="BKK192" s="17"/>
      <c r="BKL192" s="17"/>
      <c r="BKM192" s="17"/>
      <c r="BKN192" s="17"/>
      <c r="BKO192" s="17"/>
      <c r="BKP192" s="17"/>
      <c r="BKQ192" s="17"/>
      <c r="BKR192" s="17"/>
      <c r="BKS192" s="17"/>
      <c r="BKT192" s="17"/>
      <c r="BKU192" s="17"/>
      <c r="BKV192" s="17"/>
      <c r="BKW192" s="17"/>
      <c r="BKX192" s="17"/>
      <c r="BKY192" s="17"/>
      <c r="BKZ192" s="17"/>
      <c r="BLA192" s="17"/>
      <c r="BLB192" s="17"/>
      <c r="BLC192" s="17"/>
      <c r="BLD192" s="17"/>
      <c r="BLE192" s="17"/>
      <c r="BLF192" s="17"/>
      <c r="BLG192" s="17"/>
      <c r="BLH192" s="17"/>
      <c r="BLI192" s="17"/>
      <c r="BLJ192" s="17"/>
      <c r="BLK192" s="17"/>
      <c r="BLL192" s="17"/>
      <c r="BLM192" s="17"/>
      <c r="BLN192" s="17"/>
      <c r="BLO192" s="17"/>
      <c r="BLP192" s="17"/>
      <c r="BLQ192" s="17"/>
      <c r="BLR192" s="17"/>
      <c r="BLS192" s="17"/>
      <c r="BLT192" s="17"/>
      <c r="BLU192" s="17"/>
      <c r="BLV192" s="17"/>
      <c r="BLW192" s="17"/>
      <c r="BLX192" s="17"/>
      <c r="BLY192" s="17"/>
      <c r="BLZ192" s="17"/>
      <c r="BMA192" s="17"/>
      <c r="BMB192" s="17"/>
      <c r="BMC192" s="17"/>
      <c r="BMD192" s="17"/>
      <c r="BME192" s="17"/>
      <c r="BMF192" s="17"/>
      <c r="BMG192" s="17"/>
      <c r="BMH192" s="17"/>
      <c r="BMI192" s="17"/>
      <c r="BMJ192" s="17"/>
      <c r="BMK192" s="17"/>
      <c r="BML192" s="17"/>
      <c r="BMM192" s="17"/>
      <c r="BMN192" s="17"/>
      <c r="BMO192" s="17"/>
      <c r="BMP192" s="17"/>
      <c r="BMQ192" s="17"/>
      <c r="BMR192" s="17"/>
      <c r="BMS192" s="17"/>
      <c r="BMT192" s="17"/>
      <c r="BMU192" s="17"/>
      <c r="BMV192" s="17"/>
      <c r="BMW192" s="17"/>
      <c r="BMX192" s="17"/>
      <c r="BMY192" s="17"/>
      <c r="BMZ192" s="17"/>
      <c r="BNA192" s="17"/>
      <c r="BNB192" s="17"/>
      <c r="BNC192" s="17"/>
      <c r="BND192" s="17"/>
      <c r="BNE192" s="17"/>
      <c r="BNF192" s="17"/>
      <c r="BNG192" s="17"/>
      <c r="BNH192" s="17"/>
      <c r="BNI192" s="17"/>
      <c r="BNJ192" s="17"/>
      <c r="BNK192" s="17"/>
      <c r="BNL192" s="17"/>
      <c r="BNM192" s="17"/>
      <c r="BNN192" s="17"/>
      <c r="BNO192" s="17"/>
      <c r="BNP192" s="17"/>
      <c r="BNQ192" s="17"/>
      <c r="BNR192" s="17"/>
      <c r="BNS192" s="17"/>
      <c r="BNT192" s="17"/>
      <c r="BNU192" s="17"/>
      <c r="BNV192" s="17"/>
      <c r="BNW192" s="17"/>
      <c r="BNX192" s="17"/>
      <c r="BNY192" s="17"/>
      <c r="BNZ192" s="17"/>
      <c r="BOA192" s="17"/>
      <c r="BOB192" s="17"/>
      <c r="BOC192" s="17"/>
      <c r="BOD192" s="17"/>
      <c r="BOE192" s="17"/>
      <c r="BOF192" s="17"/>
      <c r="BOG192" s="17"/>
      <c r="BOH192" s="17"/>
      <c r="BOI192" s="17"/>
      <c r="BOJ192" s="17"/>
      <c r="BOK192" s="17"/>
      <c r="BOL192" s="17"/>
      <c r="BOM192" s="17"/>
      <c r="BON192" s="17"/>
      <c r="BOO192" s="17"/>
      <c r="BOP192" s="17"/>
      <c r="BOQ192" s="17"/>
      <c r="BOR192" s="17"/>
      <c r="BOS192" s="17"/>
      <c r="BOT192" s="17"/>
      <c r="BOU192" s="17"/>
      <c r="BOV192" s="17"/>
      <c r="BOW192" s="17"/>
      <c r="BOX192" s="17"/>
      <c r="BOY192" s="17"/>
      <c r="BOZ192" s="17"/>
      <c r="BPA192" s="17"/>
      <c r="BPB192" s="17"/>
      <c r="BPC192" s="17"/>
      <c r="BPD192" s="17"/>
      <c r="BPE192" s="17"/>
      <c r="BPF192" s="17"/>
      <c r="BPG192" s="17"/>
      <c r="BPH192" s="17"/>
      <c r="BPI192" s="17"/>
      <c r="BPJ192" s="17"/>
      <c r="BPK192" s="17"/>
      <c r="BPL192" s="17"/>
      <c r="BPM192" s="17"/>
      <c r="BPN192" s="17"/>
      <c r="BPO192" s="17"/>
      <c r="BPP192" s="17"/>
      <c r="BPQ192" s="17"/>
      <c r="BPR192" s="17"/>
      <c r="BPS192" s="17"/>
      <c r="BPT192" s="17"/>
      <c r="BPU192" s="17"/>
      <c r="BPV192" s="17"/>
      <c r="BPW192" s="17"/>
      <c r="BPX192" s="17"/>
      <c r="BPY192" s="17"/>
      <c r="BPZ192" s="17"/>
      <c r="BQA192" s="17"/>
      <c r="BQB192" s="17"/>
      <c r="BQC192" s="17"/>
      <c r="BQD192" s="17"/>
      <c r="BQE192" s="17"/>
      <c r="BQF192" s="17"/>
      <c r="BQG192" s="17"/>
      <c r="BQH192" s="17"/>
      <c r="BQI192" s="17"/>
      <c r="BQJ192" s="17"/>
      <c r="BQK192" s="17"/>
      <c r="BQL192" s="17"/>
      <c r="BQM192" s="17"/>
      <c r="BQN192" s="17"/>
      <c r="BQO192" s="17"/>
      <c r="BQP192" s="17"/>
      <c r="BQQ192" s="17"/>
      <c r="BQR192" s="17"/>
      <c r="BQS192" s="17"/>
      <c r="BQT192" s="17"/>
      <c r="BQU192" s="17"/>
      <c r="BQV192" s="17"/>
      <c r="BQW192" s="17"/>
      <c r="BQX192" s="17"/>
      <c r="BQY192" s="17"/>
      <c r="BQZ192" s="17"/>
      <c r="BRA192" s="17"/>
      <c r="BRB192" s="17"/>
      <c r="BRC192" s="17"/>
      <c r="BRD192" s="17"/>
      <c r="BRE192" s="17"/>
      <c r="BRF192" s="17"/>
      <c r="BRG192" s="17"/>
      <c r="BRH192" s="17"/>
      <c r="BRI192" s="17"/>
      <c r="BRJ192" s="17"/>
      <c r="BRK192" s="17"/>
      <c r="BRL192" s="17"/>
      <c r="BRM192" s="17"/>
      <c r="BRN192" s="17"/>
      <c r="BRO192" s="17"/>
      <c r="BRP192" s="17"/>
      <c r="BRQ192" s="17"/>
      <c r="BRR192" s="17"/>
      <c r="BRS192" s="17"/>
      <c r="BRT192" s="17"/>
      <c r="BRU192" s="17"/>
      <c r="BRV192" s="17"/>
      <c r="BRW192" s="17"/>
      <c r="BRX192" s="17"/>
      <c r="BRY192" s="17"/>
      <c r="BRZ192" s="17"/>
      <c r="BSA192" s="17"/>
      <c r="BSB192" s="17"/>
      <c r="BSC192" s="17"/>
      <c r="BSD192" s="17"/>
      <c r="BSE192" s="17"/>
      <c r="BSF192" s="17"/>
      <c r="BSG192" s="17"/>
      <c r="BSH192" s="17"/>
      <c r="BSI192" s="17"/>
      <c r="BSJ192" s="17"/>
      <c r="BSK192" s="17"/>
      <c r="BSL192" s="17"/>
      <c r="BSM192" s="17"/>
      <c r="BSN192" s="17"/>
      <c r="BSO192" s="17"/>
      <c r="BSP192" s="17"/>
      <c r="BSQ192" s="17"/>
      <c r="BSR192" s="17"/>
      <c r="BSS192" s="17"/>
      <c r="BST192" s="17"/>
      <c r="BSU192" s="17"/>
      <c r="BSV192" s="17"/>
      <c r="BSW192" s="17"/>
      <c r="BSX192" s="17"/>
      <c r="BSY192" s="17"/>
      <c r="BSZ192" s="17"/>
      <c r="BTA192" s="17"/>
      <c r="BTB192" s="17"/>
      <c r="BTC192" s="17"/>
      <c r="BTD192" s="17"/>
      <c r="BTE192" s="17"/>
      <c r="BTF192" s="17"/>
      <c r="BTG192" s="17"/>
      <c r="BTH192" s="17"/>
      <c r="BTI192" s="17"/>
      <c r="BTJ192" s="17"/>
      <c r="BTK192" s="17"/>
      <c r="BTL192" s="17"/>
      <c r="BTM192" s="17"/>
      <c r="BTN192" s="17"/>
      <c r="BTO192" s="17"/>
      <c r="BTP192" s="17"/>
      <c r="BTQ192" s="17"/>
      <c r="BTR192" s="17"/>
      <c r="BTS192" s="17"/>
      <c r="BTT192" s="17"/>
      <c r="BTU192" s="17"/>
      <c r="BTV192" s="17"/>
      <c r="BTW192" s="17"/>
      <c r="BTX192" s="17"/>
      <c r="BTY192" s="17"/>
      <c r="BTZ192" s="17"/>
      <c r="BUA192" s="17"/>
      <c r="BUB192" s="17"/>
      <c r="BUC192" s="17"/>
      <c r="BUD192" s="17"/>
      <c r="BUE192" s="17"/>
      <c r="BUF192" s="17"/>
      <c r="BUG192" s="17"/>
      <c r="BUH192" s="17"/>
      <c r="BUI192" s="17"/>
      <c r="BUJ192" s="17"/>
      <c r="BUK192" s="17"/>
      <c r="BUL192" s="17"/>
      <c r="BUM192" s="17"/>
      <c r="BUN192" s="17"/>
      <c r="BUO192" s="17"/>
      <c r="BUP192" s="17"/>
      <c r="BUQ192" s="17"/>
      <c r="BUR192" s="17"/>
      <c r="BUS192" s="17"/>
      <c r="BUT192" s="17"/>
      <c r="BUU192" s="17"/>
      <c r="BUV192" s="17"/>
      <c r="BUW192" s="17"/>
      <c r="BUX192" s="17"/>
      <c r="BUY192" s="17"/>
      <c r="BUZ192" s="17"/>
      <c r="BVA192" s="17"/>
      <c r="BVB192" s="17"/>
      <c r="BVC192" s="17"/>
      <c r="BVD192" s="17"/>
      <c r="BVE192" s="17"/>
      <c r="BVF192" s="17"/>
      <c r="BVG192" s="17"/>
      <c r="BVH192" s="17"/>
      <c r="BVI192" s="17"/>
      <c r="BVJ192" s="17"/>
      <c r="BVK192" s="17"/>
      <c r="BVL192" s="17"/>
      <c r="BVM192" s="17"/>
      <c r="BVN192" s="17"/>
      <c r="BVO192" s="17"/>
      <c r="BVP192" s="17"/>
      <c r="BVQ192" s="17"/>
      <c r="BVR192" s="17"/>
      <c r="BVS192" s="17"/>
      <c r="BVT192" s="17"/>
      <c r="BVU192" s="17"/>
      <c r="BVV192" s="17"/>
      <c r="BVW192" s="17"/>
      <c r="BVX192" s="17"/>
      <c r="BVY192" s="17"/>
      <c r="BVZ192" s="17"/>
      <c r="BWA192" s="17"/>
      <c r="BWB192" s="17"/>
      <c r="BWC192" s="17"/>
      <c r="BWD192" s="17"/>
      <c r="BWE192" s="17"/>
      <c r="BWF192" s="17"/>
      <c r="BWG192" s="17"/>
      <c r="BWH192" s="17"/>
      <c r="BWI192" s="17"/>
      <c r="BWJ192" s="17"/>
      <c r="BWK192" s="17"/>
      <c r="BWL192" s="17"/>
      <c r="BWM192" s="17"/>
      <c r="BWN192" s="17"/>
      <c r="BWO192" s="17"/>
      <c r="BWP192" s="17"/>
      <c r="BWQ192" s="17"/>
      <c r="BWR192" s="17"/>
      <c r="BWS192" s="17"/>
      <c r="BWT192" s="17"/>
      <c r="BWU192" s="17"/>
      <c r="BWV192" s="17"/>
      <c r="BWW192" s="17"/>
      <c r="BWX192" s="17"/>
      <c r="BWY192" s="17"/>
      <c r="BWZ192" s="17"/>
      <c r="BXA192" s="17"/>
      <c r="BXB192" s="17"/>
      <c r="BXC192" s="17"/>
      <c r="BXD192" s="17"/>
      <c r="BXE192" s="17"/>
      <c r="BXF192" s="17"/>
      <c r="BXG192" s="17"/>
      <c r="BXH192" s="17"/>
      <c r="BXI192" s="17"/>
      <c r="BXJ192" s="17"/>
      <c r="BXK192" s="17"/>
      <c r="BXL192" s="17"/>
      <c r="BXM192" s="17"/>
      <c r="BXN192" s="17"/>
      <c r="BXO192" s="17"/>
      <c r="BXP192" s="17"/>
      <c r="BXQ192" s="17"/>
      <c r="BXR192" s="17"/>
      <c r="BXS192" s="17"/>
      <c r="BXT192" s="17"/>
      <c r="BXU192" s="17"/>
      <c r="BXV192" s="17"/>
      <c r="BXW192" s="17"/>
      <c r="BXX192" s="17"/>
      <c r="BXY192" s="17"/>
      <c r="BXZ192" s="17"/>
      <c r="BYA192" s="17"/>
      <c r="BYB192" s="17"/>
      <c r="BYC192" s="17"/>
      <c r="BYD192" s="17"/>
      <c r="BYE192" s="17"/>
      <c r="BYF192" s="17"/>
      <c r="BYG192" s="17"/>
      <c r="BYH192" s="17"/>
      <c r="BYI192" s="17"/>
      <c r="BYJ192" s="17"/>
      <c r="BYK192" s="17"/>
      <c r="BYL192" s="17"/>
      <c r="BYM192" s="17"/>
      <c r="BYN192" s="17"/>
      <c r="BYO192" s="17"/>
      <c r="BYP192" s="17"/>
      <c r="BYQ192" s="17"/>
      <c r="BYR192" s="17"/>
      <c r="BYS192" s="17"/>
      <c r="BYT192" s="17"/>
      <c r="BYU192" s="17"/>
      <c r="BYV192" s="17"/>
      <c r="BYW192" s="17"/>
      <c r="BYX192" s="17"/>
      <c r="BYY192" s="17"/>
      <c r="BYZ192" s="17"/>
      <c r="BZA192" s="17"/>
      <c r="BZB192" s="17"/>
      <c r="BZC192" s="17"/>
      <c r="BZD192" s="17"/>
      <c r="BZE192" s="17"/>
      <c r="BZF192" s="17"/>
      <c r="BZG192" s="17"/>
      <c r="BZH192" s="17"/>
      <c r="BZI192" s="17"/>
      <c r="BZJ192" s="17"/>
      <c r="BZK192" s="17"/>
      <c r="BZL192" s="17"/>
      <c r="BZM192" s="17"/>
      <c r="BZN192" s="17"/>
      <c r="BZO192" s="17"/>
      <c r="BZP192" s="17"/>
      <c r="BZQ192" s="17"/>
      <c r="BZR192" s="17"/>
      <c r="BZS192" s="17"/>
      <c r="BZT192" s="17"/>
      <c r="BZU192" s="17"/>
      <c r="BZV192" s="17"/>
      <c r="BZW192" s="17"/>
      <c r="BZX192" s="17"/>
      <c r="BZY192" s="17"/>
      <c r="BZZ192" s="17"/>
      <c r="CAA192" s="17"/>
      <c r="CAB192" s="17"/>
      <c r="CAC192" s="17"/>
      <c r="CAD192" s="17"/>
      <c r="CAE192" s="17"/>
      <c r="CAF192" s="17"/>
      <c r="CAG192" s="17"/>
      <c r="CAH192" s="17"/>
      <c r="CAI192" s="17"/>
      <c r="CAJ192" s="17"/>
      <c r="CAK192" s="17"/>
      <c r="CAL192" s="17"/>
      <c r="CAM192" s="17"/>
      <c r="CAN192" s="17"/>
      <c r="CAO192" s="17"/>
      <c r="CAP192" s="17"/>
      <c r="CAQ192" s="17"/>
      <c r="CAR192" s="17"/>
      <c r="CAS192" s="17"/>
      <c r="CAT192" s="17"/>
      <c r="CAU192" s="17"/>
      <c r="CAV192" s="17"/>
      <c r="CAW192" s="17"/>
      <c r="CAX192" s="17"/>
      <c r="CAY192" s="17"/>
      <c r="CAZ192" s="17"/>
      <c r="CBA192" s="17"/>
      <c r="CBB192" s="17"/>
      <c r="CBC192" s="17"/>
      <c r="CBD192" s="17"/>
      <c r="CBE192" s="17"/>
      <c r="CBF192" s="17"/>
      <c r="CBG192" s="17"/>
      <c r="CBH192" s="17"/>
      <c r="CBI192" s="17"/>
      <c r="CBJ192" s="17"/>
      <c r="CBK192" s="17"/>
      <c r="CBL192" s="17"/>
      <c r="CBM192" s="17"/>
      <c r="CBN192" s="17"/>
      <c r="CBO192" s="17"/>
      <c r="CBP192" s="17"/>
      <c r="CBQ192" s="17"/>
      <c r="CBR192" s="17"/>
      <c r="CBS192" s="17"/>
      <c r="CBT192" s="17"/>
      <c r="CBU192" s="17"/>
      <c r="CBV192" s="17"/>
      <c r="CBW192" s="17"/>
      <c r="CBX192" s="17"/>
      <c r="CBY192" s="17"/>
      <c r="CBZ192" s="17"/>
      <c r="CCA192" s="17"/>
      <c r="CCB192" s="17"/>
      <c r="CCC192" s="17"/>
      <c r="CCD192" s="17"/>
      <c r="CCE192" s="17"/>
      <c r="CCF192" s="17"/>
      <c r="CCG192" s="17"/>
      <c r="CCH192" s="17"/>
      <c r="CCI192" s="17"/>
      <c r="CCJ192" s="17"/>
      <c r="CCK192" s="17"/>
      <c r="CCL192" s="17"/>
      <c r="CCM192" s="17"/>
      <c r="CCN192" s="17"/>
      <c r="CCO192" s="17"/>
      <c r="CCP192" s="17"/>
      <c r="CCQ192" s="17"/>
      <c r="CCR192" s="17"/>
      <c r="CCS192" s="17"/>
      <c r="CCT192" s="17"/>
      <c r="CCU192" s="17"/>
      <c r="CCV192" s="17"/>
      <c r="CCW192" s="17"/>
      <c r="CCX192" s="17"/>
      <c r="CCY192" s="17"/>
      <c r="CCZ192" s="17"/>
      <c r="CDA192" s="17"/>
      <c r="CDB192" s="17"/>
      <c r="CDC192" s="17"/>
      <c r="CDD192" s="17"/>
      <c r="CDE192" s="17"/>
      <c r="CDF192" s="17"/>
      <c r="CDG192" s="17"/>
      <c r="CDH192" s="17"/>
      <c r="CDI192" s="17"/>
      <c r="CDJ192" s="17"/>
      <c r="CDK192" s="17"/>
      <c r="CDL192" s="17"/>
      <c r="CDM192" s="17"/>
      <c r="CDN192" s="17"/>
      <c r="CDO192" s="17"/>
      <c r="CDP192" s="17"/>
      <c r="CDQ192" s="17"/>
      <c r="CDR192" s="17"/>
      <c r="CDS192" s="17"/>
      <c r="CDT192" s="17"/>
      <c r="CDU192" s="17"/>
      <c r="CDV192" s="17"/>
      <c r="CDW192" s="17"/>
      <c r="CDX192" s="17"/>
      <c r="CDY192" s="17"/>
      <c r="CDZ192" s="17"/>
      <c r="CEA192" s="17"/>
      <c r="CEB192" s="17"/>
      <c r="CEC192" s="17"/>
      <c r="CED192" s="17"/>
      <c r="CEE192" s="17"/>
      <c r="CEF192" s="17"/>
      <c r="CEG192" s="17"/>
      <c r="CEH192" s="17"/>
      <c r="CEI192" s="17"/>
      <c r="CEJ192" s="17"/>
      <c r="CEK192" s="17"/>
      <c r="CEL192" s="17"/>
      <c r="CEM192" s="17"/>
      <c r="CEN192" s="17"/>
      <c r="CEO192" s="17"/>
      <c r="CEP192" s="17"/>
      <c r="CEQ192" s="17"/>
      <c r="CER192" s="17"/>
      <c r="CES192" s="17"/>
      <c r="CET192" s="17"/>
      <c r="CEU192" s="17"/>
      <c r="CEV192" s="17"/>
      <c r="CEW192" s="17"/>
      <c r="CEX192" s="17"/>
      <c r="CEY192" s="17"/>
      <c r="CEZ192" s="17"/>
      <c r="CFA192" s="17"/>
      <c r="CFB192" s="17"/>
      <c r="CFC192" s="17"/>
      <c r="CFD192" s="17"/>
      <c r="CFE192" s="17"/>
      <c r="CFF192" s="17"/>
      <c r="CFG192" s="17"/>
      <c r="CFH192" s="17"/>
      <c r="CFI192" s="17"/>
      <c r="CFJ192" s="17"/>
      <c r="CFK192" s="17"/>
      <c r="CFL192" s="17"/>
      <c r="CFM192" s="17"/>
      <c r="CFN192" s="17"/>
      <c r="CFO192" s="17"/>
      <c r="CFP192" s="17"/>
      <c r="CFQ192" s="17"/>
      <c r="CFR192" s="17"/>
      <c r="CFS192" s="17"/>
      <c r="CFT192" s="17"/>
      <c r="CFU192" s="17"/>
      <c r="CFV192" s="17"/>
      <c r="CFW192" s="17"/>
      <c r="CFX192" s="17"/>
      <c r="CFY192" s="17"/>
      <c r="CFZ192" s="17"/>
      <c r="CGA192" s="17"/>
      <c r="CGB192" s="17"/>
      <c r="CGC192" s="17"/>
      <c r="CGD192" s="17"/>
      <c r="CGE192" s="17"/>
      <c r="CGF192" s="17"/>
      <c r="CGG192" s="17"/>
      <c r="CGH192" s="17"/>
      <c r="CGI192" s="17"/>
      <c r="CGJ192" s="17"/>
      <c r="CGK192" s="17"/>
      <c r="CGL192" s="17"/>
      <c r="CGM192" s="17"/>
      <c r="CGN192" s="17"/>
      <c r="CGO192" s="17"/>
      <c r="CGP192" s="17"/>
      <c r="CGQ192" s="17"/>
      <c r="CGR192" s="17"/>
      <c r="CGS192" s="17"/>
      <c r="CGT192" s="17"/>
      <c r="CGU192" s="17"/>
      <c r="CGV192" s="17"/>
      <c r="CGW192" s="17"/>
      <c r="CGX192" s="17"/>
      <c r="CGY192" s="17"/>
      <c r="CGZ192" s="17"/>
      <c r="CHA192" s="17"/>
      <c r="CHB192" s="17"/>
      <c r="CHC192" s="17"/>
      <c r="CHD192" s="17"/>
      <c r="CHE192" s="17"/>
      <c r="CHF192" s="17"/>
      <c r="CHG192" s="17"/>
      <c r="CHH192" s="17"/>
      <c r="CHI192" s="17"/>
      <c r="CHJ192" s="17"/>
      <c r="CHK192" s="17"/>
      <c r="CHL192" s="17"/>
      <c r="CHM192" s="17"/>
      <c r="CHN192" s="17"/>
      <c r="CHO192" s="17"/>
      <c r="CHP192" s="17"/>
      <c r="CHQ192" s="17"/>
      <c r="CHR192" s="17"/>
      <c r="CHS192" s="17"/>
      <c r="CHT192" s="17"/>
      <c r="CHU192" s="17"/>
      <c r="CHV192" s="17"/>
      <c r="CHW192" s="17"/>
      <c r="CHX192" s="17"/>
      <c r="CHY192" s="17"/>
      <c r="CHZ192" s="17"/>
      <c r="CIA192" s="17"/>
      <c r="CIB192" s="17"/>
      <c r="CIC192" s="17"/>
      <c r="CID192" s="17"/>
      <c r="CIE192" s="17"/>
      <c r="CIF192" s="17"/>
      <c r="CIG192" s="17"/>
      <c r="CIH192" s="17"/>
      <c r="CII192" s="17"/>
      <c r="CIJ192" s="17"/>
      <c r="CIK192" s="17"/>
      <c r="CIL192" s="17"/>
      <c r="CIM192" s="17"/>
      <c r="CIN192" s="17"/>
      <c r="CIO192" s="17"/>
      <c r="CIP192" s="17"/>
      <c r="CIQ192" s="17"/>
      <c r="CIR192" s="17"/>
      <c r="CIS192" s="17"/>
      <c r="CIT192" s="17"/>
      <c r="CIU192" s="17"/>
      <c r="CIV192" s="17"/>
      <c r="CIW192" s="17"/>
      <c r="CIX192" s="17"/>
      <c r="CIY192" s="17"/>
      <c r="CIZ192" s="17"/>
      <c r="CJA192" s="17"/>
      <c r="CJB192" s="17"/>
      <c r="CJC192" s="17"/>
      <c r="CJD192" s="17"/>
      <c r="CJE192" s="17"/>
      <c r="CJF192" s="17"/>
      <c r="CJG192" s="17"/>
      <c r="CJH192" s="17"/>
      <c r="CJI192" s="17"/>
      <c r="CJJ192" s="17"/>
      <c r="CJK192" s="17"/>
      <c r="CJL192" s="17"/>
      <c r="CJM192" s="17"/>
      <c r="CJN192" s="17"/>
      <c r="CJO192" s="17"/>
      <c r="CJP192" s="17"/>
      <c r="CJQ192" s="17"/>
      <c r="CJR192" s="17"/>
      <c r="CJS192" s="17"/>
      <c r="CJT192" s="17"/>
      <c r="CJU192" s="17"/>
      <c r="CJV192" s="17"/>
      <c r="CJW192" s="17"/>
      <c r="CJX192" s="17"/>
      <c r="CJY192" s="17"/>
      <c r="CJZ192" s="17"/>
      <c r="CKA192" s="17"/>
      <c r="CKB192" s="17"/>
      <c r="CKC192" s="17"/>
      <c r="CKD192" s="17"/>
      <c r="CKE192" s="17"/>
      <c r="CKF192" s="17"/>
      <c r="CKG192" s="17"/>
      <c r="CKH192" s="17"/>
      <c r="CKI192" s="17"/>
      <c r="CKJ192" s="17"/>
      <c r="CKK192" s="17"/>
      <c r="CKL192" s="17"/>
      <c r="CKM192" s="17"/>
      <c r="CKN192" s="17"/>
      <c r="CKO192" s="17"/>
      <c r="CKP192" s="17"/>
      <c r="CKQ192" s="17"/>
      <c r="CKR192" s="17"/>
      <c r="CKS192" s="17"/>
      <c r="CKT192" s="17"/>
      <c r="CKU192" s="17"/>
      <c r="CKV192" s="17"/>
      <c r="CKW192" s="17"/>
      <c r="CKX192" s="17"/>
      <c r="CKY192" s="17"/>
      <c r="CKZ192" s="17"/>
      <c r="CLA192" s="17"/>
      <c r="CLB192" s="17"/>
      <c r="CLC192" s="17"/>
      <c r="CLD192" s="17"/>
      <c r="CLE192" s="17"/>
      <c r="CLF192" s="17"/>
      <c r="CLG192" s="17"/>
      <c r="CLH192" s="17"/>
      <c r="CLI192" s="17"/>
      <c r="CLJ192" s="17"/>
      <c r="CLK192" s="17"/>
      <c r="CLL192" s="17"/>
      <c r="CLM192" s="17"/>
      <c r="CLN192" s="17"/>
      <c r="CLO192" s="17"/>
      <c r="CLP192" s="17"/>
      <c r="CLQ192" s="17"/>
      <c r="CLR192" s="17"/>
      <c r="CLS192" s="17"/>
      <c r="CLT192" s="17"/>
      <c r="CLU192" s="17"/>
      <c r="CLV192" s="17"/>
      <c r="CLW192" s="17"/>
      <c r="CLX192" s="17"/>
      <c r="CLY192" s="17"/>
      <c r="CLZ192" s="17"/>
      <c r="CMA192" s="17"/>
      <c r="CMB192" s="17"/>
      <c r="CMC192" s="17"/>
      <c r="CMD192" s="17"/>
      <c r="CME192" s="17"/>
      <c r="CMF192" s="17"/>
      <c r="CMG192" s="17"/>
      <c r="CMH192" s="17"/>
      <c r="CMI192" s="17"/>
      <c r="CMJ192" s="17"/>
      <c r="CMK192" s="17"/>
      <c r="CML192" s="17"/>
      <c r="CMM192" s="17"/>
      <c r="CMN192" s="17"/>
      <c r="CMO192" s="17"/>
      <c r="CMP192" s="17"/>
      <c r="CMQ192" s="17"/>
      <c r="CMR192" s="17"/>
      <c r="CMS192" s="17"/>
      <c r="CMT192" s="17"/>
      <c r="CMU192" s="17"/>
      <c r="CMV192" s="17"/>
      <c r="CMW192" s="17"/>
      <c r="CMX192" s="17"/>
      <c r="CMY192" s="17"/>
      <c r="CMZ192" s="17"/>
      <c r="CNA192" s="17"/>
      <c r="CNB192" s="17"/>
      <c r="CNC192" s="17"/>
      <c r="CND192" s="17"/>
      <c r="CNE192" s="17"/>
      <c r="CNF192" s="17"/>
      <c r="CNG192" s="17"/>
      <c r="CNH192" s="17"/>
      <c r="CNI192" s="17"/>
      <c r="CNJ192" s="17"/>
      <c r="CNK192" s="17"/>
      <c r="CNL192" s="17"/>
      <c r="CNM192" s="17"/>
      <c r="CNN192" s="17"/>
      <c r="CNO192" s="17"/>
      <c r="CNP192" s="17"/>
      <c r="CNQ192" s="17"/>
      <c r="CNR192" s="17"/>
      <c r="CNS192" s="17"/>
      <c r="CNT192" s="17"/>
      <c r="CNU192" s="17"/>
      <c r="CNV192" s="17"/>
      <c r="CNW192" s="17"/>
      <c r="CNX192" s="17"/>
      <c r="CNY192" s="17"/>
      <c r="CNZ192" s="17"/>
      <c r="COA192" s="17"/>
      <c r="COB192" s="17"/>
      <c r="COC192" s="17"/>
      <c r="COD192" s="17"/>
      <c r="COE192" s="17"/>
      <c r="COF192" s="17"/>
      <c r="COG192" s="17"/>
      <c r="COH192" s="17"/>
      <c r="COI192" s="17"/>
      <c r="COJ192" s="17"/>
      <c r="COK192" s="17"/>
      <c r="COL192" s="17"/>
      <c r="COM192" s="17"/>
      <c r="CON192" s="17"/>
      <c r="COO192" s="17"/>
      <c r="COP192" s="17"/>
      <c r="COQ192" s="17"/>
      <c r="COR192" s="17"/>
      <c r="COS192" s="17"/>
      <c r="COT192" s="17"/>
      <c r="COU192" s="17"/>
      <c r="COV192" s="17"/>
      <c r="COW192" s="17"/>
      <c r="COX192" s="17"/>
      <c r="COY192" s="17"/>
      <c r="COZ192" s="17"/>
      <c r="CPA192" s="17"/>
      <c r="CPB192" s="17"/>
      <c r="CPC192" s="17"/>
      <c r="CPD192" s="17"/>
      <c r="CPE192" s="17"/>
      <c r="CPF192" s="17"/>
      <c r="CPG192" s="17"/>
      <c r="CPH192" s="17"/>
      <c r="CPI192" s="17"/>
      <c r="CPJ192" s="17"/>
      <c r="CPK192" s="17"/>
      <c r="CPL192" s="17"/>
      <c r="CPM192" s="17"/>
      <c r="CPN192" s="17"/>
      <c r="CPO192" s="17"/>
      <c r="CPP192" s="17"/>
      <c r="CPQ192" s="17"/>
      <c r="CPR192" s="17"/>
      <c r="CPS192" s="17"/>
      <c r="CPT192" s="17"/>
      <c r="CPU192" s="17"/>
      <c r="CPV192" s="17"/>
      <c r="CPW192" s="17"/>
      <c r="CPX192" s="17"/>
      <c r="CPY192" s="17"/>
      <c r="CPZ192" s="17"/>
      <c r="CQA192" s="17"/>
      <c r="CQB192" s="17"/>
      <c r="CQC192" s="17"/>
      <c r="CQD192" s="17"/>
      <c r="CQE192" s="17"/>
      <c r="CQF192" s="17"/>
      <c r="CQG192" s="17"/>
      <c r="CQH192" s="17"/>
      <c r="CQI192" s="17"/>
      <c r="CQJ192" s="17"/>
      <c r="CQK192" s="17"/>
      <c r="CQL192" s="17"/>
      <c r="CQM192" s="17"/>
      <c r="CQN192" s="17"/>
      <c r="CQO192" s="17"/>
      <c r="CQP192" s="17"/>
      <c r="CQQ192" s="17"/>
      <c r="CQR192" s="17"/>
      <c r="CQS192" s="17"/>
      <c r="CQT192" s="17"/>
      <c r="CQU192" s="17"/>
      <c r="CQV192" s="17"/>
      <c r="CQW192" s="17"/>
      <c r="CQX192" s="17"/>
      <c r="CQY192" s="17"/>
      <c r="CQZ192" s="17"/>
      <c r="CRA192" s="17"/>
      <c r="CRB192" s="17"/>
      <c r="CRC192" s="17"/>
      <c r="CRD192" s="17"/>
      <c r="CRE192" s="17"/>
      <c r="CRF192" s="17"/>
      <c r="CRG192" s="17"/>
      <c r="CRH192" s="17"/>
      <c r="CRI192" s="17"/>
      <c r="CRJ192" s="17"/>
      <c r="CRK192" s="17"/>
      <c r="CRL192" s="17"/>
      <c r="CRM192" s="17"/>
      <c r="CRN192" s="17"/>
      <c r="CRO192" s="17"/>
      <c r="CRP192" s="17"/>
      <c r="CRQ192" s="17"/>
      <c r="CRR192" s="17"/>
      <c r="CRS192" s="17"/>
      <c r="CRT192" s="17"/>
      <c r="CRU192" s="17"/>
      <c r="CRV192" s="17"/>
      <c r="CRW192" s="17"/>
      <c r="CRX192" s="17"/>
      <c r="CRY192" s="17"/>
      <c r="CRZ192" s="17"/>
      <c r="CSA192" s="17"/>
      <c r="CSB192" s="17"/>
      <c r="CSC192" s="17"/>
      <c r="CSD192" s="17"/>
      <c r="CSE192" s="17"/>
      <c r="CSF192" s="17"/>
      <c r="CSG192" s="17"/>
      <c r="CSH192" s="17"/>
      <c r="CSI192" s="17"/>
      <c r="CSJ192" s="17"/>
      <c r="CSK192" s="17"/>
      <c r="CSL192" s="17"/>
      <c r="CSM192" s="17"/>
      <c r="CSN192" s="17"/>
      <c r="CSO192" s="17"/>
      <c r="CSP192" s="17"/>
      <c r="CSQ192" s="17"/>
      <c r="CSR192" s="17"/>
      <c r="CSS192" s="17"/>
      <c r="CST192" s="17"/>
      <c r="CSU192" s="17"/>
      <c r="CSV192" s="17"/>
      <c r="CSW192" s="17"/>
      <c r="CSX192" s="17"/>
      <c r="CSY192" s="17"/>
      <c r="CSZ192" s="17"/>
      <c r="CTA192" s="17"/>
      <c r="CTB192" s="17"/>
      <c r="CTC192" s="17"/>
      <c r="CTD192" s="17"/>
      <c r="CTE192" s="17"/>
      <c r="CTF192" s="17"/>
      <c r="CTG192" s="17"/>
      <c r="CTH192" s="17"/>
      <c r="CTI192" s="17"/>
      <c r="CTJ192" s="17"/>
      <c r="CTK192" s="17"/>
      <c r="CTL192" s="17"/>
      <c r="CTM192" s="17"/>
      <c r="CTN192" s="17"/>
      <c r="CTO192" s="17"/>
      <c r="CTP192" s="17"/>
      <c r="CTQ192" s="17"/>
      <c r="CTR192" s="17"/>
      <c r="CTS192" s="17"/>
      <c r="CTT192" s="17"/>
      <c r="CTU192" s="17"/>
      <c r="CTV192" s="17"/>
      <c r="CTW192" s="17"/>
      <c r="CTX192" s="17"/>
      <c r="CTY192" s="17"/>
      <c r="CTZ192" s="17"/>
      <c r="CUA192" s="17"/>
      <c r="CUB192" s="17"/>
      <c r="CUC192" s="17"/>
      <c r="CUD192" s="17"/>
      <c r="CUE192" s="17"/>
      <c r="CUF192" s="17"/>
      <c r="CUG192" s="17"/>
      <c r="CUH192" s="17"/>
      <c r="CUI192" s="17"/>
      <c r="CUJ192" s="17"/>
      <c r="CUK192" s="17"/>
      <c r="CUL192" s="17"/>
      <c r="CUM192" s="17"/>
      <c r="CUN192" s="17"/>
      <c r="CUO192" s="17"/>
      <c r="CUP192" s="17"/>
      <c r="CUQ192" s="17"/>
      <c r="CUR192" s="17"/>
      <c r="CUS192" s="17"/>
      <c r="CUT192" s="17"/>
      <c r="CUU192" s="17"/>
      <c r="CUV192" s="17"/>
      <c r="CUW192" s="17"/>
      <c r="CUX192" s="17"/>
      <c r="CUY192" s="17"/>
      <c r="CUZ192" s="17"/>
      <c r="CVA192" s="17"/>
      <c r="CVB192" s="17"/>
      <c r="CVC192" s="17"/>
      <c r="CVD192" s="17"/>
      <c r="CVE192" s="17"/>
      <c r="CVF192" s="17"/>
      <c r="CVG192" s="17"/>
      <c r="CVH192" s="17"/>
      <c r="CVI192" s="17"/>
      <c r="CVJ192" s="17"/>
      <c r="CVK192" s="17"/>
      <c r="CVL192" s="17"/>
      <c r="CVM192" s="17"/>
      <c r="CVN192" s="17"/>
      <c r="CVO192" s="17"/>
      <c r="CVP192" s="17"/>
      <c r="CVQ192" s="17"/>
      <c r="CVR192" s="17"/>
      <c r="CVS192" s="17"/>
      <c r="CVT192" s="17"/>
      <c r="CVU192" s="17"/>
      <c r="CVV192" s="17"/>
      <c r="CVW192" s="17"/>
      <c r="CVX192" s="17"/>
      <c r="CVY192" s="17"/>
      <c r="CVZ192" s="17"/>
      <c r="CWA192" s="17"/>
      <c r="CWB192" s="17"/>
      <c r="CWC192" s="17"/>
      <c r="CWD192" s="17"/>
      <c r="CWE192" s="17"/>
      <c r="CWF192" s="17"/>
      <c r="CWG192" s="17"/>
      <c r="CWH192" s="17"/>
      <c r="CWI192" s="17"/>
      <c r="CWJ192" s="17"/>
      <c r="CWK192" s="17"/>
      <c r="CWL192" s="17"/>
      <c r="CWM192" s="17"/>
      <c r="CWN192" s="17"/>
      <c r="CWO192" s="17"/>
      <c r="CWP192" s="17"/>
      <c r="CWQ192" s="17"/>
      <c r="CWR192" s="17"/>
      <c r="CWS192" s="17"/>
      <c r="CWT192" s="17"/>
      <c r="CWU192" s="17"/>
      <c r="CWV192" s="17"/>
      <c r="CWW192" s="17"/>
      <c r="CWX192" s="17"/>
      <c r="CWY192" s="17"/>
      <c r="CWZ192" s="17"/>
      <c r="CXA192" s="17"/>
      <c r="CXB192" s="17"/>
      <c r="CXC192" s="17"/>
      <c r="CXD192" s="17"/>
      <c r="CXE192" s="17"/>
      <c r="CXF192" s="17"/>
      <c r="CXG192" s="17"/>
      <c r="CXH192" s="17"/>
      <c r="CXI192" s="17"/>
      <c r="CXJ192" s="17"/>
      <c r="CXK192" s="17"/>
      <c r="CXL192" s="17"/>
      <c r="CXM192" s="17"/>
      <c r="CXN192" s="17"/>
      <c r="CXO192" s="17"/>
      <c r="CXP192" s="17"/>
      <c r="CXQ192" s="17"/>
      <c r="CXR192" s="17"/>
      <c r="CXS192" s="17"/>
      <c r="CXT192" s="17"/>
      <c r="CXU192" s="17"/>
      <c r="CXV192" s="17"/>
      <c r="CXW192" s="17"/>
      <c r="CXX192" s="17"/>
      <c r="CXY192" s="17"/>
      <c r="CXZ192" s="17"/>
      <c r="CYA192" s="17"/>
      <c r="CYB192" s="17"/>
      <c r="CYC192" s="17"/>
      <c r="CYD192" s="17"/>
      <c r="CYE192" s="17"/>
      <c r="CYF192" s="17"/>
      <c r="CYG192" s="17"/>
      <c r="CYH192" s="17"/>
      <c r="CYI192" s="17"/>
      <c r="CYJ192" s="17"/>
      <c r="CYK192" s="17"/>
      <c r="CYL192" s="17"/>
      <c r="CYM192" s="17"/>
      <c r="CYN192" s="17"/>
      <c r="CYO192" s="17"/>
      <c r="CYP192" s="17"/>
      <c r="CYQ192" s="17"/>
      <c r="CYR192" s="17"/>
      <c r="CYS192" s="17"/>
      <c r="CYT192" s="17"/>
      <c r="CYU192" s="17"/>
      <c r="CYV192" s="17"/>
      <c r="CYW192" s="17"/>
      <c r="CYX192" s="17"/>
      <c r="CYY192" s="17"/>
      <c r="CYZ192" s="17"/>
      <c r="CZA192" s="17"/>
      <c r="CZB192" s="17"/>
      <c r="CZC192" s="17"/>
      <c r="CZD192" s="17"/>
      <c r="CZE192" s="17"/>
      <c r="CZF192" s="17"/>
      <c r="CZG192" s="17"/>
      <c r="CZH192" s="17"/>
      <c r="CZI192" s="17"/>
      <c r="CZJ192" s="17"/>
      <c r="CZK192" s="17"/>
      <c r="CZL192" s="17"/>
      <c r="CZM192" s="17"/>
      <c r="CZN192" s="17"/>
      <c r="CZO192" s="17"/>
      <c r="CZP192" s="17"/>
      <c r="CZQ192" s="17"/>
      <c r="CZR192" s="17"/>
      <c r="CZS192" s="17"/>
      <c r="CZT192" s="17"/>
      <c r="CZU192" s="17"/>
      <c r="CZV192" s="17"/>
      <c r="CZW192" s="17"/>
      <c r="CZX192" s="17"/>
      <c r="CZY192" s="17"/>
      <c r="CZZ192" s="17"/>
      <c r="DAA192" s="17"/>
      <c r="DAB192" s="17"/>
      <c r="DAC192" s="17"/>
      <c r="DAD192" s="17"/>
      <c r="DAE192" s="17"/>
      <c r="DAF192" s="17"/>
      <c r="DAG192" s="17"/>
      <c r="DAH192" s="17"/>
      <c r="DAI192" s="17"/>
      <c r="DAJ192" s="17"/>
      <c r="DAK192" s="17"/>
      <c r="DAL192" s="17"/>
      <c r="DAM192" s="17"/>
      <c r="DAN192" s="17"/>
      <c r="DAO192" s="17"/>
      <c r="DAP192" s="17"/>
      <c r="DAQ192" s="17"/>
      <c r="DAR192" s="17"/>
      <c r="DAS192" s="17"/>
      <c r="DAT192" s="17"/>
      <c r="DAU192" s="17"/>
      <c r="DAV192" s="17"/>
      <c r="DAW192" s="17"/>
      <c r="DAX192" s="17"/>
      <c r="DAY192" s="17"/>
      <c r="DAZ192" s="17"/>
      <c r="DBA192" s="17"/>
      <c r="DBB192" s="17"/>
      <c r="DBC192" s="17"/>
      <c r="DBD192" s="17"/>
      <c r="DBE192" s="17"/>
      <c r="DBF192" s="17"/>
      <c r="DBG192" s="17"/>
      <c r="DBH192" s="17"/>
      <c r="DBI192" s="17"/>
      <c r="DBJ192" s="17"/>
      <c r="DBK192" s="17"/>
      <c r="DBL192" s="17"/>
      <c r="DBM192" s="17"/>
      <c r="DBN192" s="17"/>
      <c r="DBO192" s="17"/>
      <c r="DBP192" s="17"/>
      <c r="DBQ192" s="17"/>
      <c r="DBR192" s="17"/>
      <c r="DBS192" s="17"/>
      <c r="DBT192" s="17"/>
      <c r="DBU192" s="17"/>
      <c r="DBV192" s="17"/>
      <c r="DBW192" s="17"/>
      <c r="DBX192" s="17"/>
      <c r="DBY192" s="17"/>
      <c r="DBZ192" s="17"/>
      <c r="DCA192" s="17"/>
      <c r="DCB192" s="17"/>
      <c r="DCC192" s="17"/>
      <c r="DCD192" s="17"/>
      <c r="DCE192" s="17"/>
      <c r="DCF192" s="17"/>
      <c r="DCG192" s="17"/>
      <c r="DCH192" s="17"/>
      <c r="DCI192" s="17"/>
      <c r="DCJ192" s="17"/>
      <c r="DCK192" s="17"/>
      <c r="DCL192" s="17"/>
      <c r="DCM192" s="17"/>
      <c r="DCN192" s="17"/>
      <c r="DCO192" s="17"/>
      <c r="DCP192" s="17"/>
      <c r="DCQ192" s="17"/>
      <c r="DCR192" s="17"/>
      <c r="DCS192" s="17"/>
      <c r="DCT192" s="17"/>
      <c r="DCU192" s="17"/>
      <c r="DCV192" s="17"/>
      <c r="DCW192" s="17"/>
      <c r="DCX192" s="17"/>
      <c r="DCY192" s="17"/>
      <c r="DCZ192" s="17"/>
      <c r="DDA192" s="17"/>
      <c r="DDB192" s="17"/>
      <c r="DDC192" s="17"/>
      <c r="DDD192" s="17"/>
      <c r="DDE192" s="17"/>
      <c r="DDF192" s="17"/>
      <c r="DDG192" s="17"/>
      <c r="DDH192" s="17"/>
      <c r="DDI192" s="17"/>
      <c r="DDJ192" s="17"/>
      <c r="DDK192" s="17"/>
      <c r="DDL192" s="17"/>
      <c r="DDM192" s="17"/>
      <c r="DDN192" s="17"/>
      <c r="DDO192" s="17"/>
      <c r="DDP192" s="17"/>
      <c r="DDQ192" s="17"/>
      <c r="DDR192" s="17"/>
      <c r="DDS192" s="17"/>
      <c r="DDT192" s="17"/>
      <c r="DDU192" s="17"/>
      <c r="DDV192" s="17"/>
      <c r="DDW192" s="17"/>
      <c r="DDX192" s="17"/>
      <c r="DDY192" s="17"/>
      <c r="DDZ192" s="17"/>
      <c r="DEA192" s="17"/>
      <c r="DEB192" s="17"/>
      <c r="DEC192" s="17"/>
      <c r="DED192" s="17"/>
      <c r="DEE192" s="17"/>
      <c r="DEF192" s="17"/>
      <c r="DEG192" s="17"/>
      <c r="DEH192" s="17"/>
      <c r="DEI192" s="17"/>
      <c r="DEJ192" s="17"/>
      <c r="DEK192" s="17"/>
      <c r="DEL192" s="17"/>
      <c r="DEM192" s="17"/>
      <c r="DEN192" s="17"/>
      <c r="DEO192" s="17"/>
      <c r="DEP192" s="17"/>
      <c r="DEQ192" s="17"/>
      <c r="DER192" s="17"/>
      <c r="DES192" s="17"/>
      <c r="DET192" s="17"/>
      <c r="DEU192" s="17"/>
      <c r="DEV192" s="17"/>
      <c r="DEW192" s="17"/>
      <c r="DEX192" s="17"/>
      <c r="DEY192" s="17"/>
      <c r="DEZ192" s="17"/>
      <c r="DFA192" s="17"/>
      <c r="DFB192" s="17"/>
      <c r="DFC192" s="17"/>
      <c r="DFD192" s="17"/>
      <c r="DFE192" s="17"/>
      <c r="DFF192" s="17"/>
      <c r="DFG192" s="17"/>
      <c r="DFH192" s="17"/>
      <c r="DFI192" s="17"/>
      <c r="DFJ192" s="17"/>
      <c r="DFK192" s="17"/>
      <c r="DFL192" s="17"/>
      <c r="DFM192" s="17"/>
      <c r="DFN192" s="17"/>
      <c r="DFO192" s="17"/>
      <c r="DFP192" s="17"/>
      <c r="DFQ192" s="17"/>
      <c r="DFR192" s="17"/>
      <c r="DFS192" s="17"/>
      <c r="DFT192" s="17"/>
      <c r="DFU192" s="17"/>
      <c r="DFV192" s="17"/>
      <c r="DFW192" s="17"/>
      <c r="DFX192" s="17"/>
      <c r="DFY192" s="17"/>
      <c r="DFZ192" s="17"/>
      <c r="DGA192" s="17"/>
      <c r="DGB192" s="17"/>
      <c r="DGC192" s="17"/>
      <c r="DGD192" s="17"/>
      <c r="DGE192" s="17"/>
      <c r="DGF192" s="17"/>
      <c r="DGG192" s="17"/>
      <c r="DGH192" s="17"/>
      <c r="DGI192" s="17"/>
      <c r="DGJ192" s="17"/>
      <c r="DGK192" s="17"/>
      <c r="DGL192" s="17"/>
      <c r="DGM192" s="17"/>
      <c r="DGN192" s="17"/>
      <c r="DGO192" s="17"/>
      <c r="DGP192" s="17"/>
      <c r="DGQ192" s="17"/>
      <c r="DGR192" s="17"/>
      <c r="DGS192" s="17"/>
      <c r="DGT192" s="17"/>
      <c r="DGU192" s="17"/>
      <c r="DGV192" s="17"/>
      <c r="DGW192" s="17"/>
      <c r="DGX192" s="17"/>
      <c r="DGY192" s="17"/>
      <c r="DGZ192" s="17"/>
      <c r="DHA192" s="17"/>
      <c r="DHB192" s="17"/>
      <c r="DHC192" s="17"/>
      <c r="DHD192" s="17"/>
      <c r="DHE192" s="17"/>
      <c r="DHF192" s="17"/>
      <c r="DHG192" s="17"/>
      <c r="DHH192" s="17"/>
      <c r="DHI192" s="17"/>
      <c r="DHJ192" s="17"/>
      <c r="DHK192" s="17"/>
      <c r="DHL192" s="17"/>
      <c r="DHM192" s="17"/>
      <c r="DHN192" s="17"/>
      <c r="DHO192" s="17"/>
      <c r="DHP192" s="17"/>
      <c r="DHQ192" s="17"/>
      <c r="DHR192" s="17"/>
      <c r="DHS192" s="17"/>
      <c r="DHT192" s="17"/>
      <c r="DHU192" s="17"/>
      <c r="DHV192" s="17"/>
      <c r="DHW192" s="17"/>
      <c r="DHX192" s="17"/>
      <c r="DHY192" s="17"/>
      <c r="DHZ192" s="17"/>
      <c r="DIA192" s="17"/>
      <c r="DIB192" s="17"/>
      <c r="DIC192" s="17"/>
      <c r="DID192" s="17"/>
      <c r="DIE192" s="17"/>
      <c r="DIF192" s="17"/>
      <c r="DIG192" s="17"/>
      <c r="DIH192" s="17"/>
      <c r="DII192" s="17"/>
      <c r="DIJ192" s="17"/>
      <c r="DIK192" s="17"/>
      <c r="DIL192" s="17"/>
      <c r="DIM192" s="17"/>
      <c r="DIN192" s="17"/>
      <c r="DIO192" s="17"/>
      <c r="DIP192" s="17"/>
      <c r="DIQ192" s="17"/>
      <c r="DIR192" s="17"/>
      <c r="DIS192" s="17"/>
      <c r="DIT192" s="17"/>
      <c r="DIU192" s="17"/>
      <c r="DIV192" s="17"/>
      <c r="DIW192" s="17"/>
      <c r="DIX192" s="17"/>
      <c r="DIY192" s="17"/>
      <c r="DIZ192" s="17"/>
      <c r="DJA192" s="17"/>
      <c r="DJB192" s="17"/>
      <c r="DJC192" s="17"/>
      <c r="DJD192" s="17"/>
      <c r="DJE192" s="17"/>
      <c r="DJF192" s="17"/>
      <c r="DJG192" s="17"/>
      <c r="DJH192" s="17"/>
      <c r="DJI192" s="17"/>
      <c r="DJJ192" s="17"/>
      <c r="DJK192" s="17"/>
      <c r="DJL192" s="17"/>
      <c r="DJM192" s="17"/>
      <c r="DJN192" s="17"/>
      <c r="DJO192" s="17"/>
      <c r="DJP192" s="17"/>
      <c r="DJQ192" s="17"/>
      <c r="DJR192" s="17"/>
      <c r="DJS192" s="17"/>
      <c r="DJT192" s="17"/>
      <c r="DJU192" s="17"/>
      <c r="DJV192" s="17"/>
      <c r="DJW192" s="17"/>
      <c r="DJX192" s="17"/>
      <c r="DJY192" s="17"/>
      <c r="DJZ192" s="17"/>
      <c r="DKA192" s="17"/>
      <c r="DKB192" s="17"/>
      <c r="DKC192" s="17"/>
      <c r="DKD192" s="17"/>
      <c r="DKE192" s="17"/>
      <c r="DKF192" s="17"/>
      <c r="DKG192" s="17"/>
      <c r="DKH192" s="17"/>
      <c r="DKI192" s="17"/>
      <c r="DKJ192" s="17"/>
      <c r="DKK192" s="17"/>
      <c r="DKL192" s="17"/>
      <c r="DKM192" s="17"/>
      <c r="DKN192" s="17"/>
      <c r="DKO192" s="17"/>
      <c r="DKP192" s="17"/>
      <c r="DKQ192" s="17"/>
      <c r="DKR192" s="17"/>
      <c r="DKS192" s="17"/>
      <c r="DKT192" s="17"/>
      <c r="DKU192" s="17"/>
      <c r="DKV192" s="17"/>
      <c r="DKW192" s="17"/>
      <c r="DKX192" s="17"/>
      <c r="DKY192" s="17"/>
      <c r="DKZ192" s="17"/>
      <c r="DLA192" s="17"/>
      <c r="DLB192" s="17"/>
      <c r="DLC192" s="17"/>
      <c r="DLD192" s="17"/>
      <c r="DLE192" s="17"/>
      <c r="DLF192" s="17"/>
      <c r="DLG192" s="17"/>
      <c r="DLH192" s="17"/>
      <c r="DLI192" s="17"/>
      <c r="DLJ192" s="17"/>
      <c r="DLK192" s="17"/>
      <c r="DLL192" s="17"/>
      <c r="DLM192" s="17"/>
      <c r="DLN192" s="17"/>
      <c r="DLO192" s="17"/>
      <c r="DLP192" s="17"/>
      <c r="DLQ192" s="17"/>
      <c r="DLR192" s="17"/>
      <c r="DLS192" s="17"/>
      <c r="DLT192" s="17"/>
      <c r="DLU192" s="17"/>
      <c r="DLV192" s="17"/>
      <c r="DLW192" s="17"/>
      <c r="DLX192" s="17"/>
      <c r="DLY192" s="17"/>
      <c r="DLZ192" s="17"/>
      <c r="DMA192" s="17"/>
      <c r="DMB192" s="17"/>
      <c r="DMC192" s="17"/>
      <c r="DMD192" s="17"/>
      <c r="DME192" s="17"/>
      <c r="DMF192" s="17"/>
      <c r="DMG192" s="17"/>
      <c r="DMH192" s="17"/>
      <c r="DMI192" s="17"/>
      <c r="DMJ192" s="17"/>
      <c r="DMK192" s="17"/>
      <c r="DML192" s="17"/>
      <c r="DMM192" s="17"/>
      <c r="DMN192" s="17"/>
      <c r="DMO192" s="17"/>
      <c r="DMP192" s="17"/>
      <c r="DMQ192" s="17"/>
      <c r="DMR192" s="17"/>
      <c r="DMS192" s="17"/>
      <c r="DMT192" s="17"/>
      <c r="DMU192" s="17"/>
      <c r="DMV192" s="17"/>
      <c r="DMW192" s="17"/>
      <c r="DMX192" s="17"/>
      <c r="DMY192" s="17"/>
      <c r="DMZ192" s="17"/>
      <c r="DNA192" s="17"/>
      <c r="DNB192" s="17"/>
      <c r="DNC192" s="17"/>
      <c r="DND192" s="17"/>
      <c r="DNE192" s="17"/>
      <c r="DNF192" s="17"/>
      <c r="DNG192" s="17"/>
      <c r="DNH192" s="17"/>
      <c r="DNI192" s="17"/>
      <c r="DNJ192" s="17"/>
      <c r="DNK192" s="17"/>
      <c r="DNL192" s="17"/>
      <c r="DNM192" s="17"/>
      <c r="DNN192" s="17"/>
      <c r="DNO192" s="17"/>
      <c r="DNP192" s="17"/>
      <c r="DNQ192" s="17"/>
      <c r="DNR192" s="17"/>
      <c r="DNS192" s="17"/>
      <c r="DNT192" s="17"/>
      <c r="DNU192" s="17"/>
      <c r="DNV192" s="17"/>
      <c r="DNW192" s="17"/>
      <c r="DNX192" s="17"/>
      <c r="DNY192" s="17"/>
      <c r="DNZ192" s="17"/>
      <c r="DOA192" s="17"/>
      <c r="DOB192" s="17"/>
      <c r="DOC192" s="17"/>
      <c r="DOD192" s="17"/>
      <c r="DOE192" s="17"/>
      <c r="DOF192" s="17"/>
      <c r="DOG192" s="17"/>
      <c r="DOH192" s="17"/>
      <c r="DOI192" s="17"/>
      <c r="DOJ192" s="17"/>
      <c r="DOK192" s="17"/>
      <c r="DOL192" s="17"/>
      <c r="DOM192" s="17"/>
      <c r="DON192" s="17"/>
      <c r="DOO192" s="17"/>
      <c r="DOP192" s="17"/>
      <c r="DOQ192" s="17"/>
      <c r="DOR192" s="17"/>
      <c r="DOS192" s="17"/>
      <c r="DOT192" s="17"/>
      <c r="DOU192" s="17"/>
      <c r="DOV192" s="17"/>
      <c r="DOW192" s="17"/>
      <c r="DOX192" s="17"/>
      <c r="DOY192" s="17"/>
      <c r="DOZ192" s="17"/>
      <c r="DPA192" s="17"/>
      <c r="DPB192" s="17"/>
      <c r="DPC192" s="17"/>
      <c r="DPD192" s="17"/>
      <c r="DPE192" s="17"/>
      <c r="DPF192" s="17"/>
      <c r="DPG192" s="17"/>
      <c r="DPH192" s="17"/>
      <c r="DPI192" s="17"/>
      <c r="DPJ192" s="17"/>
      <c r="DPK192" s="17"/>
      <c r="DPL192" s="17"/>
      <c r="DPM192" s="17"/>
      <c r="DPN192" s="17"/>
      <c r="DPO192" s="17"/>
      <c r="DPP192" s="17"/>
      <c r="DPQ192" s="17"/>
      <c r="DPR192" s="17"/>
      <c r="DPS192" s="17"/>
      <c r="DPT192" s="17"/>
      <c r="DPU192" s="17"/>
      <c r="DPV192" s="17"/>
      <c r="DPW192" s="17"/>
      <c r="DPX192" s="17"/>
      <c r="DPY192" s="17"/>
      <c r="DPZ192" s="17"/>
      <c r="DQA192" s="17"/>
      <c r="DQB192" s="17"/>
      <c r="DQC192" s="17"/>
      <c r="DQD192" s="17"/>
      <c r="DQE192" s="17"/>
      <c r="DQF192" s="17"/>
      <c r="DQG192" s="17"/>
      <c r="DQH192" s="17"/>
      <c r="DQI192" s="17"/>
      <c r="DQJ192" s="17"/>
      <c r="DQK192" s="17"/>
      <c r="DQL192" s="17"/>
      <c r="DQM192" s="17"/>
      <c r="DQN192" s="17"/>
      <c r="DQO192" s="17"/>
      <c r="DQP192" s="17"/>
      <c r="DQQ192" s="17"/>
      <c r="DQR192" s="17"/>
      <c r="DQS192" s="17"/>
      <c r="DQT192" s="17"/>
      <c r="DQU192" s="17"/>
      <c r="DQV192" s="17"/>
      <c r="DQW192" s="17"/>
      <c r="DQX192" s="17"/>
      <c r="DQY192" s="17"/>
      <c r="DQZ192" s="17"/>
      <c r="DRA192" s="17"/>
      <c r="DRB192" s="17"/>
      <c r="DRC192" s="17"/>
      <c r="DRD192" s="17"/>
      <c r="DRE192" s="17"/>
      <c r="DRF192" s="17"/>
      <c r="DRG192" s="17"/>
      <c r="DRH192" s="17"/>
      <c r="DRI192" s="17"/>
      <c r="DRJ192" s="17"/>
      <c r="DRK192" s="17"/>
      <c r="DRL192" s="17"/>
      <c r="DRM192" s="17"/>
      <c r="DRN192" s="17"/>
      <c r="DRO192" s="17"/>
      <c r="DRP192" s="17"/>
      <c r="DRQ192" s="17"/>
      <c r="DRR192" s="17"/>
      <c r="DRS192" s="17"/>
      <c r="DRT192" s="17"/>
      <c r="DRU192" s="17"/>
      <c r="DRV192" s="17"/>
      <c r="DRW192" s="17"/>
      <c r="DRX192" s="17"/>
      <c r="DRY192" s="17"/>
      <c r="DRZ192" s="17"/>
      <c r="DSA192" s="17"/>
      <c r="DSB192" s="17"/>
      <c r="DSC192" s="17"/>
      <c r="DSD192" s="17"/>
      <c r="DSE192" s="17"/>
      <c r="DSF192" s="17"/>
      <c r="DSG192" s="17"/>
      <c r="DSH192" s="17"/>
      <c r="DSI192" s="17"/>
      <c r="DSJ192" s="17"/>
      <c r="DSK192" s="17"/>
      <c r="DSL192" s="17"/>
      <c r="DSM192" s="17"/>
      <c r="DSN192" s="17"/>
      <c r="DSO192" s="17"/>
      <c r="DSP192" s="17"/>
      <c r="DSQ192" s="17"/>
      <c r="DSR192" s="17"/>
      <c r="DSS192" s="17"/>
      <c r="DST192" s="17"/>
      <c r="DSU192" s="17"/>
      <c r="DSV192" s="17"/>
      <c r="DSW192" s="17"/>
      <c r="DSX192" s="17"/>
      <c r="DSY192" s="17"/>
      <c r="DSZ192" s="17"/>
      <c r="DTA192" s="17"/>
      <c r="DTB192" s="17"/>
      <c r="DTC192" s="17"/>
      <c r="DTD192" s="17"/>
      <c r="DTE192" s="17"/>
      <c r="DTF192" s="17"/>
      <c r="DTG192" s="17"/>
      <c r="DTH192" s="17"/>
      <c r="DTI192" s="17"/>
      <c r="DTJ192" s="17"/>
      <c r="DTK192" s="17"/>
      <c r="DTL192" s="17"/>
      <c r="DTM192" s="17"/>
      <c r="DTN192" s="17"/>
      <c r="DTO192" s="17"/>
      <c r="DTP192" s="17"/>
      <c r="DTQ192" s="17"/>
      <c r="DTR192" s="17"/>
      <c r="DTS192" s="17"/>
      <c r="DTT192" s="17"/>
      <c r="DTU192" s="17"/>
      <c r="DTV192" s="17"/>
      <c r="DTW192" s="17"/>
      <c r="DTX192" s="17"/>
      <c r="DTY192" s="17"/>
      <c r="DTZ192" s="17"/>
      <c r="DUA192" s="17"/>
      <c r="DUB192" s="17"/>
      <c r="DUC192" s="17"/>
      <c r="DUD192" s="17"/>
      <c r="DUE192" s="17"/>
      <c r="DUF192" s="17"/>
      <c r="DUG192" s="17"/>
      <c r="DUH192" s="17"/>
      <c r="DUI192" s="17"/>
      <c r="DUJ192" s="17"/>
      <c r="DUK192" s="17"/>
      <c r="DUL192" s="17"/>
      <c r="DUM192" s="17"/>
      <c r="DUN192" s="17"/>
      <c r="DUO192" s="17"/>
      <c r="DUP192" s="17"/>
      <c r="DUQ192" s="17"/>
      <c r="DUR192" s="17"/>
      <c r="DUS192" s="17"/>
      <c r="DUT192" s="17"/>
      <c r="DUU192" s="17"/>
      <c r="DUV192" s="17"/>
      <c r="DUW192" s="17"/>
      <c r="DUX192" s="17"/>
      <c r="DUY192" s="17"/>
      <c r="DUZ192" s="17"/>
      <c r="DVA192" s="17"/>
      <c r="DVB192" s="17"/>
      <c r="DVC192" s="17"/>
      <c r="DVD192" s="17"/>
      <c r="DVE192" s="17"/>
      <c r="DVF192" s="17"/>
      <c r="DVG192" s="17"/>
      <c r="DVH192" s="17"/>
      <c r="DVI192" s="17"/>
      <c r="DVJ192" s="17"/>
      <c r="DVK192" s="17"/>
      <c r="DVL192" s="17"/>
      <c r="DVM192" s="17"/>
      <c r="DVN192" s="17"/>
      <c r="DVO192" s="17"/>
      <c r="DVP192" s="17"/>
      <c r="DVQ192" s="17"/>
      <c r="DVR192" s="17"/>
      <c r="DVS192" s="17"/>
      <c r="DVT192" s="17"/>
      <c r="DVU192" s="17"/>
      <c r="DVV192" s="17"/>
      <c r="DVW192" s="17"/>
      <c r="DVX192" s="17"/>
      <c r="DVY192" s="17"/>
      <c r="DVZ192" s="17"/>
      <c r="DWA192" s="17"/>
      <c r="DWB192" s="17"/>
      <c r="DWC192" s="17"/>
      <c r="DWD192" s="17"/>
      <c r="DWE192" s="17"/>
      <c r="DWF192" s="17"/>
      <c r="DWG192" s="17"/>
      <c r="DWH192" s="17"/>
      <c r="DWI192" s="17"/>
      <c r="DWJ192" s="17"/>
      <c r="DWK192" s="17"/>
      <c r="DWL192" s="17"/>
      <c r="DWM192" s="17"/>
      <c r="DWN192" s="17"/>
      <c r="DWO192" s="17"/>
      <c r="DWP192" s="17"/>
      <c r="DWQ192" s="17"/>
      <c r="DWR192" s="17"/>
      <c r="DWS192" s="17"/>
      <c r="DWT192" s="17"/>
      <c r="DWU192" s="17"/>
      <c r="DWV192" s="17"/>
      <c r="DWW192" s="17"/>
      <c r="DWX192" s="17"/>
      <c r="DWY192" s="17"/>
      <c r="DWZ192" s="17"/>
      <c r="DXA192" s="17"/>
      <c r="DXB192" s="17"/>
      <c r="DXC192" s="17"/>
      <c r="DXD192" s="17"/>
      <c r="DXE192" s="17"/>
      <c r="DXF192" s="17"/>
      <c r="DXG192" s="17"/>
      <c r="DXH192" s="17"/>
      <c r="DXI192" s="17"/>
      <c r="DXJ192" s="17"/>
      <c r="DXK192" s="17"/>
      <c r="DXL192" s="17"/>
      <c r="DXM192" s="17"/>
      <c r="DXN192" s="17"/>
      <c r="DXO192" s="17"/>
      <c r="DXP192" s="17"/>
      <c r="DXQ192" s="17"/>
      <c r="DXR192" s="17"/>
      <c r="DXS192" s="17"/>
      <c r="DXT192" s="17"/>
      <c r="DXU192" s="17"/>
      <c r="DXV192" s="17"/>
      <c r="DXW192" s="17"/>
      <c r="DXX192" s="17"/>
      <c r="DXY192" s="17"/>
      <c r="DXZ192" s="17"/>
      <c r="DYA192" s="17"/>
      <c r="DYB192" s="17"/>
      <c r="DYC192" s="17"/>
      <c r="DYD192" s="17"/>
      <c r="DYE192" s="17"/>
      <c r="DYF192" s="17"/>
      <c r="DYG192" s="17"/>
      <c r="DYH192" s="17"/>
      <c r="DYI192" s="17"/>
      <c r="DYJ192" s="17"/>
      <c r="DYK192" s="17"/>
      <c r="DYL192" s="17"/>
      <c r="DYM192" s="17"/>
      <c r="DYN192" s="17"/>
      <c r="DYO192" s="17"/>
      <c r="DYP192" s="17"/>
      <c r="DYQ192" s="17"/>
      <c r="DYR192" s="17"/>
      <c r="DYS192" s="17"/>
      <c r="DYT192" s="17"/>
      <c r="DYU192" s="17"/>
      <c r="DYV192" s="17"/>
      <c r="DYW192" s="17"/>
      <c r="DYX192" s="17"/>
      <c r="DYY192" s="17"/>
      <c r="DYZ192" s="17"/>
      <c r="DZA192" s="17"/>
      <c r="DZB192" s="17"/>
      <c r="DZC192" s="17"/>
      <c r="DZD192" s="17"/>
      <c r="DZE192" s="17"/>
      <c r="DZF192" s="17"/>
      <c r="DZG192" s="17"/>
      <c r="DZH192" s="17"/>
      <c r="DZI192" s="17"/>
      <c r="DZJ192" s="17"/>
      <c r="DZK192" s="17"/>
      <c r="DZL192" s="17"/>
      <c r="DZM192" s="17"/>
      <c r="DZN192" s="17"/>
      <c r="DZO192" s="17"/>
      <c r="DZP192" s="17"/>
      <c r="DZQ192" s="17"/>
      <c r="DZR192" s="17"/>
      <c r="DZS192" s="17"/>
      <c r="DZT192" s="17"/>
      <c r="DZU192" s="17"/>
      <c r="DZV192" s="17"/>
      <c r="DZW192" s="17"/>
      <c r="DZX192" s="17"/>
      <c r="DZY192" s="17"/>
      <c r="DZZ192" s="17"/>
      <c r="EAA192" s="17"/>
      <c r="EAB192" s="17"/>
      <c r="EAC192" s="17"/>
      <c r="EAD192" s="17"/>
      <c r="EAE192" s="17"/>
      <c r="EAF192" s="17"/>
      <c r="EAG192" s="17"/>
      <c r="EAH192" s="17"/>
      <c r="EAI192" s="17"/>
      <c r="EAJ192" s="17"/>
      <c r="EAK192" s="17"/>
      <c r="EAL192" s="17"/>
      <c r="EAM192" s="17"/>
      <c r="EAN192" s="17"/>
      <c r="EAO192" s="17"/>
      <c r="EAP192" s="17"/>
      <c r="EAQ192" s="17"/>
      <c r="EAR192" s="17"/>
      <c r="EAS192" s="17"/>
      <c r="EAT192" s="17"/>
      <c r="EAU192" s="17"/>
      <c r="EAV192" s="17"/>
      <c r="EAW192" s="17"/>
      <c r="EAX192" s="17"/>
      <c r="EAY192" s="17"/>
      <c r="EAZ192" s="17"/>
      <c r="EBA192" s="17"/>
      <c r="EBB192" s="17"/>
      <c r="EBC192" s="17"/>
      <c r="EBD192" s="17"/>
      <c r="EBE192" s="17"/>
      <c r="EBF192" s="17"/>
      <c r="EBG192" s="17"/>
      <c r="EBH192" s="17"/>
      <c r="EBI192" s="17"/>
      <c r="EBJ192" s="17"/>
      <c r="EBK192" s="17"/>
      <c r="EBL192" s="17"/>
      <c r="EBM192" s="17"/>
      <c r="EBN192" s="17"/>
      <c r="EBO192" s="17"/>
      <c r="EBP192" s="17"/>
      <c r="EBQ192" s="17"/>
      <c r="EBR192" s="17"/>
      <c r="EBS192" s="17"/>
      <c r="EBT192" s="17"/>
      <c r="EBU192" s="17"/>
      <c r="EBV192" s="17"/>
      <c r="EBW192" s="17"/>
      <c r="EBX192" s="17"/>
      <c r="EBY192" s="17"/>
      <c r="EBZ192" s="17"/>
      <c r="ECA192" s="17"/>
      <c r="ECB192" s="17"/>
      <c r="ECC192" s="17"/>
      <c r="ECD192" s="17"/>
      <c r="ECE192" s="17"/>
      <c r="ECF192" s="17"/>
      <c r="ECG192" s="17"/>
      <c r="ECH192" s="17"/>
      <c r="ECI192" s="17"/>
      <c r="ECJ192" s="17"/>
      <c r="ECK192" s="17"/>
      <c r="ECL192" s="17"/>
      <c r="ECM192" s="17"/>
      <c r="ECN192" s="17"/>
      <c r="ECO192" s="17"/>
      <c r="ECP192" s="17"/>
      <c r="ECQ192" s="17"/>
      <c r="ECR192" s="17"/>
      <c r="ECS192" s="17"/>
      <c r="ECT192" s="17"/>
      <c r="ECU192" s="17"/>
      <c r="ECV192" s="17"/>
      <c r="ECW192" s="17"/>
      <c r="ECX192" s="17"/>
      <c r="ECY192" s="17"/>
      <c r="ECZ192" s="17"/>
      <c r="EDA192" s="17"/>
      <c r="EDB192" s="17"/>
      <c r="EDC192" s="17"/>
      <c r="EDD192" s="17"/>
      <c r="EDE192" s="17"/>
      <c r="EDF192" s="17"/>
      <c r="EDG192" s="17"/>
      <c r="EDH192" s="17"/>
      <c r="EDI192" s="17"/>
      <c r="EDJ192" s="17"/>
      <c r="EDK192" s="17"/>
      <c r="EDL192" s="17"/>
      <c r="EDM192" s="17"/>
      <c r="EDN192" s="17"/>
      <c r="EDO192" s="17"/>
      <c r="EDP192" s="17"/>
      <c r="EDQ192" s="17"/>
      <c r="EDR192" s="17"/>
      <c r="EDS192" s="17"/>
      <c r="EDT192" s="17"/>
      <c r="EDU192" s="17"/>
      <c r="EDV192" s="17"/>
      <c r="EDW192" s="17"/>
      <c r="EDX192" s="17"/>
      <c r="EDY192" s="17"/>
      <c r="EDZ192" s="17"/>
      <c r="EEA192" s="17"/>
      <c r="EEB192" s="17"/>
      <c r="EEC192" s="17"/>
      <c r="EED192" s="17"/>
      <c r="EEE192" s="17"/>
      <c r="EEF192" s="17"/>
      <c r="EEG192" s="17"/>
      <c r="EEH192" s="17"/>
      <c r="EEI192" s="17"/>
      <c r="EEJ192" s="17"/>
      <c r="EEK192" s="17"/>
      <c r="EEL192" s="17"/>
      <c r="EEM192" s="17"/>
      <c r="EEN192" s="17"/>
      <c r="EEO192" s="17"/>
      <c r="EEP192" s="17"/>
      <c r="EEQ192" s="17"/>
      <c r="EER192" s="17"/>
      <c r="EES192" s="17"/>
      <c r="EET192" s="17"/>
      <c r="EEU192" s="17"/>
      <c r="EEV192" s="17"/>
      <c r="EEW192" s="17"/>
      <c r="EEX192" s="17"/>
      <c r="EEY192" s="17"/>
      <c r="EEZ192" s="17"/>
      <c r="EFA192" s="17"/>
      <c r="EFB192" s="17"/>
      <c r="EFC192" s="17"/>
      <c r="EFD192" s="17"/>
      <c r="EFE192" s="17"/>
      <c r="EFF192" s="17"/>
      <c r="EFG192" s="17"/>
      <c r="EFH192" s="17"/>
      <c r="EFI192" s="17"/>
      <c r="EFJ192" s="17"/>
      <c r="EFK192" s="17"/>
      <c r="EFL192" s="17"/>
      <c r="EFM192" s="17"/>
      <c r="EFN192" s="17"/>
      <c r="EFO192" s="17"/>
      <c r="EFP192" s="17"/>
      <c r="EFQ192" s="17"/>
      <c r="EFR192" s="17"/>
      <c r="EFS192" s="17"/>
      <c r="EFT192" s="17"/>
      <c r="EFU192" s="17"/>
      <c r="EFV192" s="17"/>
      <c r="EFW192" s="17"/>
      <c r="EFX192" s="17"/>
      <c r="EFY192" s="17"/>
      <c r="EFZ192" s="17"/>
      <c r="EGA192" s="17"/>
      <c r="EGB192" s="17"/>
      <c r="EGC192" s="17"/>
      <c r="EGD192" s="17"/>
      <c r="EGE192" s="17"/>
      <c r="EGF192" s="17"/>
      <c r="EGG192" s="17"/>
      <c r="EGH192" s="17"/>
      <c r="EGI192" s="17"/>
      <c r="EGJ192" s="17"/>
      <c r="EGK192" s="17"/>
      <c r="EGL192" s="17"/>
      <c r="EGM192" s="17"/>
      <c r="EGN192" s="17"/>
      <c r="EGO192" s="17"/>
      <c r="EGP192" s="17"/>
      <c r="EGQ192" s="17"/>
      <c r="EGR192" s="17"/>
      <c r="EGS192" s="17"/>
      <c r="EGT192" s="17"/>
      <c r="EGU192" s="17"/>
      <c r="EGV192" s="17"/>
      <c r="EGW192" s="17"/>
      <c r="EGX192" s="17"/>
      <c r="EGY192" s="17"/>
      <c r="EGZ192" s="17"/>
      <c r="EHA192" s="17"/>
      <c r="EHB192" s="17"/>
      <c r="EHC192" s="17"/>
      <c r="EHD192" s="17"/>
      <c r="EHE192" s="17"/>
      <c r="EHF192" s="17"/>
      <c r="EHG192" s="17"/>
      <c r="EHH192" s="17"/>
      <c r="EHI192" s="17"/>
      <c r="EHJ192" s="17"/>
      <c r="EHK192" s="17"/>
      <c r="EHL192" s="17"/>
      <c r="EHM192" s="17"/>
      <c r="EHN192" s="17"/>
      <c r="EHO192" s="17"/>
      <c r="EHP192" s="17"/>
      <c r="EHQ192" s="17"/>
      <c r="EHR192" s="17"/>
      <c r="EHS192" s="17"/>
      <c r="EHT192" s="17"/>
      <c r="EHU192" s="17"/>
      <c r="EHV192" s="17"/>
      <c r="EHW192" s="17"/>
      <c r="EHX192" s="17"/>
      <c r="EHY192" s="17"/>
      <c r="EHZ192" s="17"/>
      <c r="EIA192" s="17"/>
      <c r="EIB192" s="17"/>
      <c r="EIC192" s="17"/>
      <c r="EID192" s="17"/>
      <c r="EIE192" s="17"/>
      <c r="EIF192" s="17"/>
      <c r="EIG192" s="17"/>
      <c r="EIH192" s="17"/>
      <c r="EII192" s="17"/>
      <c r="EIJ192" s="17"/>
      <c r="EIK192" s="17"/>
      <c r="EIL192" s="17"/>
      <c r="EIM192" s="17"/>
      <c r="EIN192" s="17"/>
      <c r="EIO192" s="17"/>
      <c r="EIP192" s="17"/>
      <c r="EIQ192" s="17"/>
      <c r="EIR192" s="17"/>
      <c r="EIS192" s="17"/>
      <c r="EIT192" s="17"/>
      <c r="EIU192" s="17"/>
      <c r="EIV192" s="17"/>
      <c r="EIW192" s="17"/>
      <c r="EIX192" s="17"/>
      <c r="EIY192" s="17"/>
      <c r="EIZ192" s="17"/>
      <c r="EJA192" s="17"/>
      <c r="EJB192" s="17"/>
      <c r="EJC192" s="17"/>
      <c r="EJD192" s="17"/>
      <c r="EJE192" s="17"/>
      <c r="EJF192" s="17"/>
      <c r="EJG192" s="17"/>
      <c r="EJH192" s="17"/>
      <c r="EJI192" s="17"/>
      <c r="EJJ192" s="17"/>
      <c r="EJK192" s="17"/>
      <c r="EJL192" s="17"/>
      <c r="EJM192" s="17"/>
      <c r="EJN192" s="17"/>
      <c r="EJO192" s="17"/>
      <c r="EJP192" s="17"/>
      <c r="EJQ192" s="17"/>
      <c r="EJR192" s="17"/>
      <c r="EJS192" s="17"/>
      <c r="EJT192" s="17"/>
      <c r="EJU192" s="17"/>
      <c r="EJV192" s="17"/>
      <c r="EJW192" s="17"/>
      <c r="EJX192" s="17"/>
      <c r="EJY192" s="17"/>
      <c r="EJZ192" s="17"/>
      <c r="EKA192" s="17"/>
      <c r="EKB192" s="17"/>
      <c r="EKC192" s="17"/>
      <c r="EKD192" s="17"/>
      <c r="EKE192" s="17"/>
      <c r="EKF192" s="17"/>
      <c r="EKG192" s="17"/>
      <c r="EKH192" s="17"/>
      <c r="EKI192" s="17"/>
      <c r="EKJ192" s="17"/>
      <c r="EKK192" s="17"/>
      <c r="EKL192" s="17"/>
      <c r="EKM192" s="17"/>
      <c r="EKN192" s="17"/>
      <c r="EKO192" s="17"/>
      <c r="EKP192" s="17"/>
      <c r="EKQ192" s="17"/>
      <c r="EKR192" s="17"/>
      <c r="EKS192" s="17"/>
      <c r="EKT192" s="17"/>
      <c r="EKU192" s="17"/>
      <c r="EKV192" s="17"/>
      <c r="EKW192" s="17"/>
      <c r="EKX192" s="17"/>
      <c r="EKY192" s="17"/>
      <c r="EKZ192" s="17"/>
      <c r="ELA192" s="17"/>
      <c r="ELB192" s="17"/>
      <c r="ELC192" s="17"/>
      <c r="ELD192" s="17"/>
      <c r="ELE192" s="17"/>
      <c r="ELF192" s="17"/>
      <c r="ELG192" s="17"/>
      <c r="ELH192" s="17"/>
      <c r="ELI192" s="17"/>
      <c r="ELJ192" s="17"/>
      <c r="ELK192" s="17"/>
      <c r="ELL192" s="17"/>
      <c r="ELM192" s="17"/>
      <c r="ELN192" s="17"/>
      <c r="ELO192" s="17"/>
      <c r="ELP192" s="17"/>
      <c r="ELQ192" s="17"/>
      <c r="ELR192" s="17"/>
      <c r="ELS192" s="17"/>
      <c r="ELT192" s="17"/>
      <c r="ELU192" s="17"/>
      <c r="ELV192" s="17"/>
      <c r="ELW192" s="17"/>
      <c r="ELX192" s="17"/>
      <c r="ELY192" s="17"/>
      <c r="ELZ192" s="17"/>
      <c r="EMA192" s="17"/>
      <c r="EMB192" s="17"/>
      <c r="EMC192" s="17"/>
      <c r="EMD192" s="17"/>
      <c r="EME192" s="17"/>
      <c r="EMF192" s="17"/>
      <c r="EMG192" s="17"/>
      <c r="EMH192" s="17"/>
      <c r="EMI192" s="17"/>
      <c r="EMJ192" s="17"/>
      <c r="EMK192" s="17"/>
      <c r="EML192" s="17"/>
      <c r="EMM192" s="17"/>
      <c r="EMN192" s="17"/>
      <c r="EMO192" s="17"/>
      <c r="EMP192" s="17"/>
      <c r="EMQ192" s="17"/>
      <c r="EMR192" s="17"/>
      <c r="EMS192" s="17"/>
      <c r="EMT192" s="17"/>
      <c r="EMU192" s="17"/>
      <c r="EMV192" s="17"/>
      <c r="EMW192" s="17"/>
      <c r="EMX192" s="17"/>
      <c r="EMY192" s="17"/>
      <c r="EMZ192" s="17"/>
      <c r="ENA192" s="17"/>
      <c r="ENB192" s="17"/>
      <c r="ENC192" s="17"/>
      <c r="END192" s="17"/>
      <c r="ENE192" s="17"/>
      <c r="ENF192" s="17"/>
      <c r="ENG192" s="17"/>
      <c r="ENH192" s="17"/>
      <c r="ENI192" s="17"/>
      <c r="ENJ192" s="17"/>
      <c r="ENK192" s="17"/>
      <c r="ENL192" s="17"/>
      <c r="ENM192" s="17"/>
      <c r="ENN192" s="17"/>
      <c r="ENO192" s="17"/>
      <c r="ENP192" s="17"/>
      <c r="ENQ192" s="17"/>
      <c r="ENR192" s="17"/>
      <c r="ENS192" s="17"/>
      <c r="ENT192" s="17"/>
      <c r="ENU192" s="17"/>
      <c r="ENV192" s="17"/>
      <c r="ENW192" s="17"/>
      <c r="ENX192" s="17"/>
      <c r="ENY192" s="17"/>
      <c r="ENZ192" s="17"/>
      <c r="EOA192" s="17"/>
      <c r="EOB192" s="17"/>
      <c r="EOC192" s="17"/>
      <c r="EOD192" s="17"/>
      <c r="EOE192" s="17"/>
      <c r="EOF192" s="17"/>
      <c r="EOG192" s="17"/>
      <c r="EOH192" s="17"/>
      <c r="EOI192" s="17"/>
      <c r="EOJ192" s="17"/>
      <c r="EOK192" s="17"/>
      <c r="EOL192" s="17"/>
      <c r="EOM192" s="17"/>
      <c r="EON192" s="17"/>
      <c r="EOO192" s="17"/>
      <c r="EOP192" s="17"/>
      <c r="EOQ192" s="17"/>
      <c r="EOR192" s="17"/>
      <c r="EOS192" s="17"/>
      <c r="EOT192" s="17"/>
      <c r="EOU192" s="17"/>
      <c r="EOV192" s="17"/>
      <c r="EOW192" s="17"/>
      <c r="EOX192" s="17"/>
      <c r="EOY192" s="17"/>
      <c r="EOZ192" s="17"/>
      <c r="EPA192" s="17"/>
      <c r="EPB192" s="17"/>
      <c r="EPC192" s="17"/>
      <c r="EPD192" s="17"/>
      <c r="EPE192" s="17"/>
      <c r="EPF192" s="17"/>
      <c r="EPG192" s="17"/>
      <c r="EPH192" s="17"/>
      <c r="EPI192" s="17"/>
      <c r="EPJ192" s="17"/>
      <c r="EPK192" s="17"/>
      <c r="EPL192" s="17"/>
      <c r="EPM192" s="17"/>
      <c r="EPN192" s="17"/>
      <c r="EPO192" s="17"/>
      <c r="EPP192" s="17"/>
      <c r="EPQ192" s="17"/>
      <c r="EPR192" s="17"/>
      <c r="EPS192" s="17"/>
      <c r="EPT192" s="17"/>
      <c r="EPU192" s="17"/>
      <c r="EPV192" s="17"/>
      <c r="EPW192" s="17"/>
      <c r="EPX192" s="17"/>
      <c r="EPY192" s="17"/>
      <c r="EPZ192" s="17"/>
      <c r="EQA192" s="17"/>
      <c r="EQB192" s="17"/>
      <c r="EQC192" s="17"/>
      <c r="EQD192" s="17"/>
      <c r="EQE192" s="17"/>
      <c r="EQF192" s="17"/>
      <c r="EQG192" s="17"/>
      <c r="EQH192" s="17"/>
      <c r="EQI192" s="17"/>
      <c r="EQJ192" s="17"/>
      <c r="EQK192" s="17"/>
      <c r="EQL192" s="17"/>
      <c r="EQM192" s="17"/>
      <c r="EQN192" s="17"/>
      <c r="EQO192" s="17"/>
      <c r="EQP192" s="17"/>
      <c r="EQQ192" s="17"/>
      <c r="EQR192" s="17"/>
      <c r="EQS192" s="17"/>
      <c r="EQT192" s="17"/>
      <c r="EQU192" s="17"/>
      <c r="EQV192" s="17"/>
      <c r="EQW192" s="17"/>
      <c r="EQX192" s="17"/>
      <c r="EQY192" s="17"/>
      <c r="EQZ192" s="17"/>
      <c r="ERA192" s="17"/>
      <c r="ERB192" s="17"/>
      <c r="ERC192" s="17"/>
      <c r="ERD192" s="17"/>
      <c r="ERE192" s="17"/>
      <c r="ERF192" s="17"/>
      <c r="ERG192" s="17"/>
      <c r="ERH192" s="17"/>
      <c r="ERI192" s="17"/>
      <c r="ERJ192" s="17"/>
      <c r="ERK192" s="17"/>
      <c r="ERL192" s="17"/>
      <c r="ERM192" s="17"/>
      <c r="ERN192" s="17"/>
      <c r="ERO192" s="17"/>
      <c r="ERP192" s="17"/>
      <c r="ERQ192" s="17"/>
      <c r="ERR192" s="17"/>
      <c r="ERS192" s="17"/>
      <c r="ERT192" s="17"/>
      <c r="ERU192" s="17"/>
      <c r="ERV192" s="17"/>
      <c r="ERW192" s="17"/>
      <c r="ERX192" s="17"/>
      <c r="ERY192" s="17"/>
      <c r="ERZ192" s="17"/>
      <c r="ESA192" s="17"/>
      <c r="ESB192" s="17"/>
      <c r="ESC192" s="17"/>
      <c r="ESD192" s="17"/>
      <c r="ESE192" s="17"/>
      <c r="ESF192" s="17"/>
      <c r="ESG192" s="17"/>
      <c r="ESH192" s="17"/>
      <c r="ESI192" s="17"/>
      <c r="ESJ192" s="17"/>
      <c r="ESK192" s="17"/>
      <c r="ESL192" s="17"/>
      <c r="ESM192" s="17"/>
      <c r="ESN192" s="17"/>
      <c r="ESO192" s="17"/>
      <c r="ESP192" s="17"/>
      <c r="ESQ192" s="17"/>
      <c r="ESR192" s="17"/>
      <c r="ESS192" s="17"/>
      <c r="EST192" s="17"/>
      <c r="ESU192" s="17"/>
      <c r="ESV192" s="17"/>
      <c r="ESW192" s="17"/>
      <c r="ESX192" s="17"/>
      <c r="ESY192" s="17"/>
      <c r="ESZ192" s="17"/>
      <c r="ETA192" s="17"/>
      <c r="ETB192" s="17"/>
      <c r="ETC192" s="17"/>
      <c r="ETD192" s="17"/>
      <c r="ETE192" s="17"/>
      <c r="ETF192" s="17"/>
      <c r="ETG192" s="17"/>
      <c r="ETH192" s="17"/>
      <c r="ETI192" s="17"/>
      <c r="ETJ192" s="17"/>
      <c r="ETK192" s="17"/>
      <c r="ETL192" s="17"/>
      <c r="ETM192" s="17"/>
      <c r="ETN192" s="17"/>
      <c r="ETO192" s="17"/>
      <c r="ETP192" s="17"/>
      <c r="ETQ192" s="17"/>
      <c r="ETR192" s="17"/>
      <c r="ETS192" s="17"/>
      <c r="ETT192" s="17"/>
      <c r="ETU192" s="17"/>
      <c r="ETV192" s="17"/>
      <c r="ETW192" s="17"/>
      <c r="ETX192" s="17"/>
      <c r="ETY192" s="17"/>
      <c r="ETZ192" s="17"/>
      <c r="EUA192" s="17"/>
      <c r="EUB192" s="17"/>
      <c r="EUC192" s="17"/>
      <c r="EUD192" s="17"/>
      <c r="EUE192" s="17"/>
      <c r="EUF192" s="17"/>
      <c r="EUG192" s="17"/>
      <c r="EUH192" s="17"/>
      <c r="EUI192" s="17"/>
      <c r="EUJ192" s="17"/>
      <c r="EUK192" s="17"/>
      <c r="EUL192" s="17"/>
      <c r="EUM192" s="17"/>
      <c r="EUN192" s="17"/>
      <c r="EUO192" s="17"/>
      <c r="EUP192" s="17"/>
      <c r="EUQ192" s="17"/>
      <c r="EUR192" s="17"/>
      <c r="EUS192" s="17"/>
      <c r="EUT192" s="17"/>
      <c r="EUU192" s="17"/>
      <c r="EUV192" s="17"/>
      <c r="EUW192" s="17"/>
      <c r="EUX192" s="17"/>
      <c r="EUY192" s="17"/>
      <c r="EUZ192" s="17"/>
      <c r="EVA192" s="17"/>
      <c r="EVB192" s="17"/>
      <c r="EVC192" s="17"/>
      <c r="EVD192" s="17"/>
      <c r="EVE192" s="17"/>
      <c r="EVF192" s="17"/>
      <c r="EVG192" s="17"/>
      <c r="EVH192" s="17"/>
      <c r="EVI192" s="17"/>
      <c r="EVJ192" s="17"/>
      <c r="EVK192" s="17"/>
      <c r="EVL192" s="17"/>
      <c r="EVM192" s="17"/>
      <c r="EVN192" s="17"/>
      <c r="EVO192" s="17"/>
      <c r="EVP192" s="17"/>
      <c r="EVQ192" s="17"/>
      <c r="EVR192" s="17"/>
      <c r="EVS192" s="17"/>
      <c r="EVT192" s="17"/>
      <c r="EVU192" s="17"/>
      <c r="EVV192" s="17"/>
      <c r="EVW192" s="17"/>
      <c r="EVX192" s="17"/>
      <c r="EVY192" s="17"/>
      <c r="EVZ192" s="17"/>
      <c r="EWA192" s="17"/>
      <c r="EWB192" s="17"/>
      <c r="EWC192" s="17"/>
      <c r="EWD192" s="17"/>
      <c r="EWE192" s="17"/>
      <c r="EWF192" s="17"/>
      <c r="EWG192" s="17"/>
      <c r="EWH192" s="17"/>
      <c r="EWI192" s="17"/>
      <c r="EWJ192" s="17"/>
      <c r="EWK192" s="17"/>
      <c r="EWL192" s="17"/>
      <c r="EWM192" s="17"/>
      <c r="EWN192" s="17"/>
      <c r="EWO192" s="17"/>
      <c r="EWP192" s="17"/>
      <c r="EWQ192" s="17"/>
      <c r="EWR192" s="17"/>
      <c r="EWS192" s="17"/>
      <c r="EWT192" s="17"/>
      <c r="EWU192" s="17"/>
      <c r="EWV192" s="17"/>
      <c r="EWW192" s="17"/>
      <c r="EWX192" s="17"/>
      <c r="EWY192" s="17"/>
      <c r="EWZ192" s="17"/>
      <c r="EXA192" s="17"/>
      <c r="EXB192" s="17"/>
      <c r="EXC192" s="17"/>
      <c r="EXD192" s="17"/>
      <c r="EXE192" s="17"/>
      <c r="EXF192" s="17"/>
      <c r="EXG192" s="17"/>
      <c r="EXH192" s="17"/>
      <c r="EXI192" s="17"/>
      <c r="EXJ192" s="17"/>
      <c r="EXK192" s="17"/>
      <c r="EXL192" s="17"/>
      <c r="EXM192" s="17"/>
      <c r="EXN192" s="17"/>
      <c r="EXO192" s="17"/>
      <c r="EXP192" s="17"/>
      <c r="EXQ192" s="17"/>
      <c r="EXR192" s="17"/>
      <c r="EXS192" s="17"/>
      <c r="EXT192" s="17"/>
      <c r="EXU192" s="17"/>
      <c r="EXV192" s="17"/>
      <c r="EXW192" s="17"/>
      <c r="EXX192" s="17"/>
      <c r="EXY192" s="17"/>
      <c r="EXZ192" s="17"/>
      <c r="EYA192" s="17"/>
      <c r="EYB192" s="17"/>
      <c r="EYC192" s="17"/>
      <c r="EYD192" s="17"/>
      <c r="EYE192" s="17"/>
      <c r="EYF192" s="17"/>
      <c r="EYG192" s="17"/>
      <c r="EYH192" s="17"/>
      <c r="EYI192" s="17"/>
      <c r="EYJ192" s="17"/>
      <c r="EYK192" s="17"/>
      <c r="EYL192" s="17"/>
      <c r="EYM192" s="17"/>
      <c r="EYN192" s="17"/>
      <c r="EYO192" s="17"/>
      <c r="EYP192" s="17"/>
      <c r="EYQ192" s="17"/>
      <c r="EYR192" s="17"/>
      <c r="EYS192" s="17"/>
      <c r="EYT192" s="17"/>
      <c r="EYU192" s="17"/>
      <c r="EYV192" s="17"/>
      <c r="EYW192" s="17"/>
      <c r="EYX192" s="17"/>
      <c r="EYY192" s="17"/>
      <c r="EYZ192" s="17"/>
      <c r="EZA192" s="17"/>
      <c r="EZB192" s="17"/>
      <c r="EZC192" s="17"/>
      <c r="EZD192" s="17"/>
      <c r="EZE192" s="17"/>
      <c r="EZF192" s="17"/>
      <c r="EZG192" s="17"/>
      <c r="EZH192" s="17"/>
      <c r="EZI192" s="17"/>
      <c r="EZJ192" s="17"/>
      <c r="EZK192" s="17"/>
      <c r="EZL192" s="17"/>
      <c r="EZM192" s="17"/>
      <c r="EZN192" s="17"/>
      <c r="EZO192" s="17"/>
      <c r="EZP192" s="17"/>
      <c r="EZQ192" s="17"/>
      <c r="EZR192" s="17"/>
      <c r="EZS192" s="17"/>
      <c r="EZT192" s="17"/>
      <c r="EZU192" s="17"/>
      <c r="EZV192" s="17"/>
      <c r="EZW192" s="17"/>
      <c r="EZX192" s="17"/>
      <c r="EZY192" s="17"/>
      <c r="EZZ192" s="17"/>
      <c r="FAA192" s="17"/>
      <c r="FAB192" s="17"/>
      <c r="FAC192" s="17"/>
      <c r="FAD192" s="17"/>
      <c r="FAE192" s="17"/>
      <c r="FAF192" s="17"/>
      <c r="FAG192" s="17"/>
      <c r="FAH192" s="17"/>
      <c r="FAI192" s="17"/>
      <c r="FAJ192" s="17"/>
      <c r="FAK192" s="17"/>
      <c r="FAL192" s="17"/>
      <c r="FAM192" s="17"/>
      <c r="FAN192" s="17"/>
      <c r="FAO192" s="17"/>
      <c r="FAP192" s="17"/>
      <c r="FAQ192" s="17"/>
      <c r="FAR192" s="17"/>
      <c r="FAS192" s="17"/>
      <c r="FAT192" s="17"/>
      <c r="FAU192" s="17"/>
      <c r="FAV192" s="17"/>
      <c r="FAW192" s="17"/>
      <c r="FAX192" s="17"/>
      <c r="FAY192" s="17"/>
      <c r="FAZ192" s="17"/>
      <c r="FBA192" s="17"/>
      <c r="FBB192" s="17"/>
      <c r="FBC192" s="17"/>
      <c r="FBD192" s="17"/>
      <c r="FBE192" s="17"/>
      <c r="FBF192" s="17"/>
      <c r="FBG192" s="17"/>
      <c r="FBH192" s="17"/>
      <c r="FBI192" s="17"/>
      <c r="FBJ192" s="17"/>
      <c r="FBK192" s="17"/>
      <c r="FBL192" s="17"/>
      <c r="FBM192" s="17"/>
      <c r="FBN192" s="17"/>
      <c r="FBO192" s="17"/>
      <c r="FBP192" s="17"/>
      <c r="FBQ192" s="17"/>
      <c r="FBR192" s="17"/>
      <c r="FBS192" s="17"/>
      <c r="FBT192" s="17"/>
      <c r="FBU192" s="17"/>
      <c r="FBV192" s="17"/>
      <c r="FBW192" s="17"/>
      <c r="FBX192" s="17"/>
      <c r="FBY192" s="17"/>
      <c r="FBZ192" s="17"/>
      <c r="FCA192" s="17"/>
      <c r="FCB192" s="17"/>
      <c r="FCC192" s="17"/>
      <c r="FCD192" s="17"/>
      <c r="FCE192" s="17"/>
      <c r="FCF192" s="17"/>
      <c r="FCG192" s="17"/>
      <c r="FCH192" s="17"/>
      <c r="FCI192" s="17"/>
      <c r="FCJ192" s="17"/>
      <c r="FCK192" s="17"/>
      <c r="FCL192" s="17"/>
      <c r="FCM192" s="17"/>
      <c r="FCN192" s="17"/>
      <c r="FCO192" s="17"/>
      <c r="FCP192" s="17"/>
      <c r="FCQ192" s="17"/>
      <c r="FCR192" s="17"/>
      <c r="FCS192" s="17"/>
      <c r="FCT192" s="17"/>
      <c r="FCU192" s="17"/>
      <c r="FCV192" s="17"/>
      <c r="FCW192" s="17"/>
      <c r="FCX192" s="17"/>
      <c r="FCY192" s="17"/>
      <c r="FCZ192" s="17"/>
      <c r="FDA192" s="17"/>
      <c r="FDB192" s="17"/>
      <c r="FDC192" s="17"/>
      <c r="FDD192" s="17"/>
      <c r="FDE192" s="17"/>
      <c r="FDF192" s="17"/>
      <c r="FDG192" s="17"/>
      <c r="FDH192" s="17"/>
      <c r="FDI192" s="17"/>
      <c r="FDJ192" s="17"/>
      <c r="FDK192" s="17"/>
      <c r="FDL192" s="17"/>
      <c r="FDM192" s="17"/>
      <c r="FDN192" s="17"/>
      <c r="FDO192" s="17"/>
      <c r="FDP192" s="17"/>
      <c r="FDQ192" s="17"/>
      <c r="FDR192" s="17"/>
      <c r="FDS192" s="17"/>
      <c r="FDT192" s="17"/>
      <c r="FDU192" s="17"/>
      <c r="FDV192" s="17"/>
      <c r="FDW192" s="17"/>
      <c r="FDX192" s="17"/>
      <c r="FDY192" s="17"/>
      <c r="FDZ192" s="17"/>
      <c r="FEA192" s="17"/>
      <c r="FEB192" s="17"/>
      <c r="FEC192" s="17"/>
      <c r="FED192" s="17"/>
      <c r="FEE192" s="17"/>
      <c r="FEF192" s="17"/>
      <c r="FEG192" s="17"/>
      <c r="FEH192" s="17"/>
      <c r="FEI192" s="17"/>
      <c r="FEJ192" s="17"/>
      <c r="FEK192" s="17"/>
      <c r="FEL192" s="17"/>
      <c r="FEM192" s="17"/>
      <c r="FEN192" s="17"/>
      <c r="FEO192" s="17"/>
      <c r="FEP192" s="17"/>
      <c r="FEQ192" s="17"/>
      <c r="FER192" s="17"/>
      <c r="FES192" s="17"/>
      <c r="FET192" s="17"/>
      <c r="FEU192" s="17"/>
      <c r="FEV192" s="17"/>
      <c r="FEW192" s="17"/>
      <c r="FEX192" s="17"/>
      <c r="FEY192" s="17"/>
      <c r="FEZ192" s="17"/>
      <c r="FFA192" s="17"/>
      <c r="FFB192" s="17"/>
      <c r="FFC192" s="17"/>
      <c r="FFD192" s="17"/>
      <c r="FFE192" s="17"/>
      <c r="FFF192" s="17"/>
      <c r="FFG192" s="17"/>
      <c r="FFH192" s="17"/>
      <c r="FFI192" s="17"/>
      <c r="FFJ192" s="17"/>
      <c r="FFK192" s="17"/>
      <c r="FFL192" s="17"/>
      <c r="FFM192" s="17"/>
      <c r="FFN192" s="17"/>
      <c r="FFO192" s="17"/>
      <c r="FFP192" s="17"/>
      <c r="FFQ192" s="17"/>
      <c r="FFR192" s="17"/>
      <c r="FFS192" s="17"/>
      <c r="FFT192" s="17"/>
      <c r="FFU192" s="17"/>
      <c r="FFV192" s="17"/>
      <c r="FFW192" s="17"/>
      <c r="FFX192" s="17"/>
      <c r="FFY192" s="17"/>
      <c r="FFZ192" s="17"/>
      <c r="FGA192" s="17"/>
      <c r="FGB192" s="17"/>
      <c r="FGC192" s="17"/>
      <c r="FGD192" s="17"/>
      <c r="FGE192" s="17"/>
      <c r="FGF192" s="17"/>
      <c r="FGG192" s="17"/>
      <c r="FGH192" s="17"/>
      <c r="FGI192" s="17"/>
      <c r="FGJ192" s="17"/>
      <c r="FGK192" s="17"/>
      <c r="FGL192" s="17"/>
      <c r="FGM192" s="17"/>
      <c r="FGN192" s="17"/>
      <c r="FGO192" s="17"/>
      <c r="FGP192" s="17"/>
      <c r="FGQ192" s="17"/>
      <c r="FGR192" s="17"/>
      <c r="FGS192" s="17"/>
      <c r="FGT192" s="17"/>
      <c r="FGU192" s="17"/>
      <c r="FGV192" s="17"/>
      <c r="FGW192" s="17"/>
      <c r="FGX192" s="17"/>
      <c r="FGY192" s="17"/>
      <c r="FGZ192" s="17"/>
      <c r="FHA192" s="17"/>
      <c r="FHB192" s="17"/>
      <c r="FHC192" s="17"/>
      <c r="FHD192" s="17"/>
      <c r="FHE192" s="17"/>
      <c r="FHF192" s="17"/>
      <c r="FHG192" s="17"/>
      <c r="FHH192" s="17"/>
      <c r="FHI192" s="17"/>
      <c r="FHJ192" s="17"/>
      <c r="FHK192" s="17"/>
      <c r="FHL192" s="17"/>
      <c r="FHM192" s="17"/>
      <c r="FHN192" s="17"/>
      <c r="FHO192" s="17"/>
      <c r="FHP192" s="17"/>
      <c r="FHQ192" s="17"/>
      <c r="FHR192" s="17"/>
      <c r="FHS192" s="17"/>
      <c r="FHT192" s="17"/>
      <c r="FHU192" s="17"/>
      <c r="FHV192" s="17"/>
      <c r="FHW192" s="17"/>
      <c r="FHX192" s="17"/>
      <c r="FHY192" s="17"/>
      <c r="FHZ192" s="17"/>
      <c r="FIA192" s="17"/>
      <c r="FIB192" s="17"/>
      <c r="FIC192" s="17"/>
      <c r="FID192" s="17"/>
      <c r="FIE192" s="17"/>
      <c r="FIF192" s="17"/>
      <c r="FIG192" s="17"/>
      <c r="FIH192" s="17"/>
      <c r="FII192" s="17"/>
      <c r="FIJ192" s="17"/>
      <c r="FIK192" s="17"/>
      <c r="FIL192" s="17"/>
      <c r="FIM192" s="17"/>
      <c r="FIN192" s="17"/>
      <c r="FIO192" s="17"/>
      <c r="FIP192" s="17"/>
      <c r="FIQ192" s="17"/>
      <c r="FIR192" s="17"/>
      <c r="FIS192" s="17"/>
      <c r="FIT192" s="17"/>
      <c r="FIU192" s="17"/>
      <c r="FIV192" s="17"/>
      <c r="FIW192" s="17"/>
      <c r="FIX192" s="17"/>
      <c r="FIY192" s="17"/>
      <c r="FIZ192" s="17"/>
      <c r="FJA192" s="17"/>
      <c r="FJB192" s="17"/>
      <c r="FJC192" s="17"/>
      <c r="FJD192" s="17"/>
      <c r="FJE192" s="17"/>
      <c r="FJF192" s="17"/>
      <c r="FJG192" s="17"/>
      <c r="FJH192" s="17"/>
      <c r="FJI192" s="17"/>
      <c r="FJJ192" s="17"/>
      <c r="FJK192" s="17"/>
      <c r="FJL192" s="17"/>
      <c r="FJM192" s="17"/>
      <c r="FJN192" s="17"/>
      <c r="FJO192" s="17"/>
      <c r="FJP192" s="17"/>
      <c r="FJQ192" s="17"/>
      <c r="FJR192" s="17"/>
      <c r="FJS192" s="17"/>
      <c r="FJT192" s="17"/>
      <c r="FJU192" s="17"/>
      <c r="FJV192" s="17"/>
      <c r="FJW192" s="17"/>
      <c r="FJX192" s="17"/>
      <c r="FJY192" s="17"/>
      <c r="FJZ192" s="17"/>
      <c r="FKA192" s="17"/>
      <c r="FKB192" s="17"/>
      <c r="FKC192" s="17"/>
      <c r="FKD192" s="17"/>
      <c r="FKE192" s="17"/>
      <c r="FKF192" s="17"/>
      <c r="FKG192" s="17"/>
      <c r="FKH192" s="17"/>
      <c r="FKI192" s="17"/>
      <c r="FKJ192" s="17"/>
      <c r="FKK192" s="17"/>
      <c r="FKL192" s="17"/>
      <c r="FKM192" s="17"/>
      <c r="FKN192" s="17"/>
      <c r="FKO192" s="17"/>
      <c r="FKP192" s="17"/>
      <c r="FKQ192" s="17"/>
      <c r="FKR192" s="17"/>
      <c r="FKS192" s="17"/>
      <c r="FKT192" s="17"/>
      <c r="FKU192" s="17"/>
      <c r="FKV192" s="17"/>
      <c r="FKW192" s="17"/>
      <c r="FKX192" s="17"/>
      <c r="FKY192" s="17"/>
      <c r="FKZ192" s="17"/>
      <c r="FLA192" s="17"/>
      <c r="FLB192" s="17"/>
      <c r="FLC192" s="17"/>
      <c r="FLD192" s="17"/>
      <c r="FLE192" s="17"/>
      <c r="FLF192" s="17"/>
      <c r="FLG192" s="17"/>
      <c r="FLH192" s="17"/>
      <c r="FLI192" s="17"/>
      <c r="FLJ192" s="17"/>
      <c r="FLK192" s="17"/>
      <c r="FLL192" s="17"/>
      <c r="FLM192" s="17"/>
      <c r="FLN192" s="17"/>
      <c r="FLO192" s="17"/>
      <c r="FLP192" s="17"/>
      <c r="FLQ192" s="17"/>
      <c r="FLR192" s="17"/>
      <c r="FLS192" s="17"/>
      <c r="FLT192" s="17"/>
      <c r="FLU192" s="17"/>
      <c r="FLV192" s="17"/>
      <c r="FLW192" s="17"/>
      <c r="FLX192" s="17"/>
      <c r="FLY192" s="17"/>
      <c r="FLZ192" s="17"/>
      <c r="FMA192" s="17"/>
      <c r="FMB192" s="17"/>
      <c r="FMC192" s="17"/>
      <c r="FMD192" s="17"/>
      <c r="FME192" s="17"/>
      <c r="FMF192" s="17"/>
      <c r="FMG192" s="17"/>
      <c r="FMH192" s="17"/>
      <c r="FMI192" s="17"/>
      <c r="FMJ192" s="17"/>
      <c r="FMK192" s="17"/>
      <c r="FML192" s="17"/>
      <c r="FMM192" s="17"/>
      <c r="FMN192" s="17"/>
      <c r="FMO192" s="17"/>
      <c r="FMP192" s="17"/>
      <c r="FMQ192" s="17"/>
      <c r="FMR192" s="17"/>
      <c r="FMS192" s="17"/>
      <c r="FMT192" s="17"/>
      <c r="FMU192" s="17"/>
      <c r="FMV192" s="17"/>
      <c r="FMW192" s="17"/>
      <c r="FMX192" s="17"/>
      <c r="FMY192" s="17"/>
      <c r="FMZ192" s="17"/>
      <c r="FNA192" s="17"/>
      <c r="FNB192" s="17"/>
      <c r="FNC192" s="17"/>
      <c r="FND192" s="17"/>
      <c r="FNE192" s="17"/>
      <c r="FNF192" s="17"/>
      <c r="FNG192" s="17"/>
      <c r="FNH192" s="17"/>
      <c r="FNI192" s="17"/>
      <c r="FNJ192" s="17"/>
      <c r="FNK192" s="17"/>
      <c r="FNL192" s="17"/>
      <c r="FNM192" s="17"/>
      <c r="FNN192" s="17"/>
      <c r="FNO192" s="17"/>
      <c r="FNP192" s="17"/>
      <c r="FNQ192" s="17"/>
      <c r="FNR192" s="17"/>
      <c r="FNS192" s="17"/>
      <c r="FNT192" s="17"/>
      <c r="FNU192" s="17"/>
      <c r="FNV192" s="17"/>
      <c r="FNW192" s="17"/>
      <c r="FNX192" s="17"/>
      <c r="FNY192" s="17"/>
      <c r="FNZ192" s="17"/>
      <c r="FOA192" s="17"/>
      <c r="FOB192" s="17"/>
      <c r="FOC192" s="17"/>
      <c r="FOD192" s="17"/>
      <c r="FOE192" s="17"/>
      <c r="FOF192" s="17"/>
      <c r="FOG192" s="17"/>
      <c r="FOH192" s="17"/>
      <c r="FOI192" s="17"/>
      <c r="FOJ192" s="17"/>
      <c r="FOK192" s="17"/>
      <c r="FOL192" s="17"/>
      <c r="FOM192" s="17"/>
      <c r="FON192" s="17"/>
      <c r="FOO192" s="17"/>
      <c r="FOP192" s="17"/>
      <c r="FOQ192" s="17"/>
      <c r="FOR192" s="17"/>
      <c r="FOS192" s="17"/>
      <c r="FOT192" s="17"/>
      <c r="FOU192" s="17"/>
      <c r="FOV192" s="17"/>
      <c r="FOW192" s="17"/>
      <c r="FOX192" s="17"/>
      <c r="FOY192" s="17"/>
      <c r="FOZ192" s="17"/>
      <c r="FPA192" s="17"/>
      <c r="FPB192" s="17"/>
      <c r="FPC192" s="17"/>
      <c r="FPD192" s="17"/>
      <c r="FPE192" s="17"/>
      <c r="FPF192" s="17"/>
      <c r="FPG192" s="17"/>
      <c r="FPH192" s="17"/>
      <c r="FPI192" s="17"/>
      <c r="FPJ192" s="17"/>
      <c r="FPK192" s="17"/>
      <c r="FPL192" s="17"/>
      <c r="FPM192" s="17"/>
      <c r="FPN192" s="17"/>
      <c r="FPO192" s="17"/>
      <c r="FPP192" s="17"/>
      <c r="FPQ192" s="17"/>
      <c r="FPR192" s="17"/>
      <c r="FPS192" s="17"/>
      <c r="FPT192" s="17"/>
      <c r="FPU192" s="17"/>
      <c r="FPV192" s="17"/>
      <c r="FPW192" s="17"/>
      <c r="FPX192" s="17"/>
      <c r="FPY192" s="17"/>
      <c r="FPZ192" s="17"/>
      <c r="FQA192" s="17"/>
      <c r="FQB192" s="17"/>
      <c r="FQC192" s="17"/>
      <c r="FQD192" s="17"/>
      <c r="FQE192" s="17"/>
      <c r="FQF192" s="17"/>
      <c r="FQG192" s="17"/>
      <c r="FQH192" s="17"/>
      <c r="FQI192" s="17"/>
      <c r="FQJ192" s="17"/>
      <c r="FQK192" s="17"/>
      <c r="FQL192" s="17"/>
      <c r="FQM192" s="17"/>
      <c r="FQN192" s="17"/>
      <c r="FQO192" s="17"/>
      <c r="FQP192" s="17"/>
      <c r="FQQ192" s="17"/>
      <c r="FQR192" s="17"/>
      <c r="FQS192" s="17"/>
      <c r="FQT192" s="17"/>
      <c r="FQU192" s="17"/>
      <c r="FQV192" s="17"/>
      <c r="FQW192" s="17"/>
      <c r="FQX192" s="17"/>
      <c r="FQY192" s="17"/>
      <c r="FQZ192" s="17"/>
      <c r="FRA192" s="17"/>
      <c r="FRB192" s="17"/>
      <c r="FRC192" s="17"/>
      <c r="FRD192" s="17"/>
      <c r="FRE192" s="17"/>
      <c r="FRF192" s="17"/>
      <c r="FRG192" s="17"/>
      <c r="FRH192" s="17"/>
      <c r="FRI192" s="17"/>
      <c r="FRJ192" s="17"/>
      <c r="FRK192" s="17"/>
      <c r="FRL192" s="17"/>
      <c r="FRM192" s="17"/>
      <c r="FRN192" s="17"/>
      <c r="FRO192" s="17"/>
      <c r="FRP192" s="17"/>
      <c r="FRQ192" s="17"/>
      <c r="FRR192" s="17"/>
      <c r="FRS192" s="17"/>
      <c r="FRT192" s="17"/>
      <c r="FRU192" s="17"/>
      <c r="FRV192" s="17"/>
      <c r="FRW192" s="17"/>
      <c r="FRX192" s="17"/>
      <c r="FRY192" s="17"/>
      <c r="FRZ192" s="17"/>
      <c r="FSA192" s="17"/>
      <c r="FSB192" s="17"/>
      <c r="FSC192" s="17"/>
      <c r="FSD192" s="17"/>
      <c r="FSE192" s="17"/>
      <c r="FSF192" s="17"/>
      <c r="FSG192" s="17"/>
      <c r="FSH192" s="17"/>
      <c r="FSI192" s="17"/>
      <c r="FSJ192" s="17"/>
      <c r="FSK192" s="17"/>
      <c r="FSL192" s="17"/>
      <c r="FSM192" s="17"/>
      <c r="FSN192" s="17"/>
      <c r="FSO192" s="17"/>
      <c r="FSP192" s="17"/>
      <c r="FSQ192" s="17"/>
      <c r="FSR192" s="17"/>
      <c r="FSS192" s="17"/>
      <c r="FST192" s="17"/>
      <c r="FSU192" s="17"/>
      <c r="FSV192" s="17"/>
      <c r="FSW192" s="17"/>
      <c r="FSX192" s="17"/>
      <c r="FSY192" s="17"/>
      <c r="FSZ192" s="17"/>
      <c r="FTA192" s="17"/>
      <c r="FTB192" s="17"/>
      <c r="FTC192" s="17"/>
      <c r="FTD192" s="17"/>
      <c r="FTE192" s="17"/>
      <c r="FTF192" s="17"/>
      <c r="FTG192" s="17"/>
      <c r="FTH192" s="17"/>
      <c r="FTI192" s="17"/>
      <c r="FTJ192" s="17"/>
      <c r="FTK192" s="17"/>
      <c r="FTL192" s="17"/>
      <c r="FTM192" s="17"/>
      <c r="FTN192" s="17"/>
      <c r="FTO192" s="17"/>
      <c r="FTP192" s="17"/>
      <c r="FTQ192" s="17"/>
      <c r="FTR192" s="17"/>
      <c r="FTS192" s="17"/>
      <c r="FTT192" s="17"/>
      <c r="FTU192" s="17"/>
      <c r="FTV192" s="17"/>
      <c r="FTW192" s="17"/>
      <c r="FTX192" s="17"/>
      <c r="FTY192" s="17"/>
      <c r="FTZ192" s="17"/>
      <c r="FUA192" s="17"/>
      <c r="FUB192" s="17"/>
      <c r="FUC192" s="17"/>
      <c r="FUD192" s="17"/>
      <c r="FUE192" s="17"/>
      <c r="FUF192" s="17"/>
      <c r="FUG192" s="17"/>
      <c r="FUH192" s="17"/>
      <c r="FUI192" s="17"/>
      <c r="FUJ192" s="17"/>
      <c r="FUK192" s="17"/>
      <c r="FUL192" s="17"/>
      <c r="FUM192" s="17"/>
      <c r="FUN192" s="17"/>
      <c r="FUO192" s="17"/>
      <c r="FUP192" s="17"/>
      <c r="FUQ192" s="17"/>
      <c r="FUR192" s="17"/>
      <c r="FUS192" s="17"/>
      <c r="FUT192" s="17"/>
      <c r="FUU192" s="17"/>
      <c r="FUV192" s="17"/>
      <c r="FUW192" s="17"/>
      <c r="FUX192" s="17"/>
      <c r="FUY192" s="17"/>
      <c r="FUZ192" s="17"/>
      <c r="FVA192" s="17"/>
      <c r="FVB192" s="17"/>
      <c r="FVC192" s="17"/>
      <c r="FVD192" s="17"/>
      <c r="FVE192" s="17"/>
      <c r="FVF192" s="17"/>
      <c r="FVG192" s="17"/>
      <c r="FVH192" s="17"/>
      <c r="FVI192" s="17"/>
      <c r="FVJ192" s="17"/>
      <c r="FVK192" s="17"/>
      <c r="FVL192" s="17"/>
      <c r="FVM192" s="17"/>
      <c r="FVN192" s="17"/>
      <c r="FVO192" s="17"/>
      <c r="FVP192" s="17"/>
      <c r="FVQ192" s="17"/>
      <c r="FVR192" s="17"/>
      <c r="FVS192" s="17"/>
      <c r="FVT192" s="17"/>
      <c r="FVU192" s="17"/>
      <c r="FVV192" s="17"/>
      <c r="FVW192" s="17"/>
      <c r="FVX192" s="17"/>
      <c r="FVY192" s="17"/>
      <c r="FVZ192" s="17"/>
      <c r="FWA192" s="17"/>
      <c r="FWB192" s="17"/>
      <c r="FWC192" s="17"/>
      <c r="FWD192" s="17"/>
      <c r="FWE192" s="17"/>
      <c r="FWF192" s="17"/>
      <c r="FWG192" s="17"/>
      <c r="FWH192" s="17"/>
      <c r="FWI192" s="17"/>
      <c r="FWJ192" s="17"/>
      <c r="FWK192" s="17"/>
      <c r="FWL192" s="17"/>
      <c r="FWM192" s="17"/>
      <c r="FWN192" s="17"/>
      <c r="FWO192" s="17"/>
      <c r="FWP192" s="17"/>
      <c r="FWQ192" s="17"/>
      <c r="FWR192" s="17"/>
      <c r="FWS192" s="17"/>
      <c r="FWT192" s="17"/>
      <c r="FWU192" s="17"/>
      <c r="FWV192" s="17"/>
      <c r="FWW192" s="17"/>
      <c r="FWX192" s="17"/>
      <c r="FWY192" s="17"/>
      <c r="FWZ192" s="17"/>
      <c r="FXA192" s="17"/>
      <c r="FXB192" s="17"/>
      <c r="FXC192" s="17"/>
      <c r="FXD192" s="17"/>
      <c r="FXE192" s="17"/>
      <c r="FXF192" s="17"/>
      <c r="FXG192" s="17"/>
      <c r="FXH192" s="17"/>
      <c r="FXI192" s="17"/>
      <c r="FXJ192" s="17"/>
      <c r="FXK192" s="17"/>
      <c r="FXL192" s="17"/>
      <c r="FXM192" s="17"/>
      <c r="FXN192" s="17"/>
      <c r="FXO192" s="17"/>
      <c r="FXP192" s="17"/>
      <c r="FXQ192" s="17"/>
      <c r="FXR192" s="17"/>
      <c r="FXS192" s="17"/>
      <c r="FXT192" s="17"/>
      <c r="FXU192" s="17"/>
      <c r="FXV192" s="17"/>
      <c r="FXW192" s="17"/>
      <c r="FXX192" s="17"/>
      <c r="FXY192" s="17"/>
      <c r="FXZ192" s="17"/>
      <c r="FYA192" s="17"/>
      <c r="FYB192" s="17"/>
      <c r="FYC192" s="17"/>
      <c r="FYD192" s="17"/>
      <c r="FYE192" s="17"/>
      <c r="FYF192" s="17"/>
      <c r="FYG192" s="17"/>
      <c r="FYH192" s="17"/>
      <c r="FYI192" s="17"/>
      <c r="FYJ192" s="17"/>
      <c r="FYK192" s="17"/>
      <c r="FYL192" s="17"/>
      <c r="FYM192" s="17"/>
      <c r="FYN192" s="17"/>
      <c r="FYO192" s="17"/>
      <c r="FYP192" s="17"/>
      <c r="FYQ192" s="17"/>
      <c r="FYR192" s="17"/>
      <c r="FYS192" s="17"/>
      <c r="FYT192" s="17"/>
      <c r="FYU192" s="17"/>
      <c r="FYV192" s="17"/>
      <c r="FYW192" s="17"/>
      <c r="FYX192" s="17"/>
      <c r="FYY192" s="17"/>
      <c r="FYZ192" s="17"/>
      <c r="FZA192" s="17"/>
      <c r="FZB192" s="17"/>
      <c r="FZC192" s="17"/>
      <c r="FZD192" s="17"/>
      <c r="FZE192" s="17"/>
      <c r="FZF192" s="17"/>
      <c r="FZG192" s="17"/>
      <c r="FZH192" s="17"/>
      <c r="FZI192" s="17"/>
      <c r="FZJ192" s="17"/>
      <c r="FZK192" s="17"/>
      <c r="FZL192" s="17"/>
      <c r="FZM192" s="17"/>
      <c r="FZN192" s="17"/>
      <c r="FZO192" s="17"/>
      <c r="FZP192" s="17"/>
      <c r="FZQ192" s="17"/>
      <c r="FZR192" s="17"/>
      <c r="FZS192" s="17"/>
      <c r="FZT192" s="17"/>
      <c r="FZU192" s="17"/>
      <c r="FZV192" s="17"/>
      <c r="FZW192" s="17"/>
      <c r="FZX192" s="17"/>
      <c r="FZY192" s="17"/>
      <c r="FZZ192" s="17"/>
      <c r="GAA192" s="17"/>
      <c r="GAB192" s="17"/>
      <c r="GAC192" s="17"/>
      <c r="GAD192" s="17"/>
      <c r="GAE192" s="17"/>
      <c r="GAF192" s="17"/>
      <c r="GAG192" s="17"/>
      <c r="GAH192" s="17"/>
      <c r="GAI192" s="17"/>
      <c r="GAJ192" s="17"/>
      <c r="GAK192" s="17"/>
      <c r="GAL192" s="17"/>
      <c r="GAM192" s="17"/>
      <c r="GAN192" s="17"/>
      <c r="GAO192" s="17"/>
      <c r="GAP192" s="17"/>
      <c r="GAQ192" s="17"/>
      <c r="GAR192" s="17"/>
      <c r="GAS192" s="17"/>
      <c r="GAT192" s="17"/>
      <c r="GAU192" s="17"/>
      <c r="GAV192" s="17"/>
      <c r="GAW192" s="17"/>
      <c r="GAX192" s="17"/>
      <c r="GAY192" s="17"/>
      <c r="GAZ192" s="17"/>
      <c r="GBA192" s="17"/>
      <c r="GBB192" s="17"/>
      <c r="GBC192" s="17"/>
      <c r="GBD192" s="17"/>
      <c r="GBE192" s="17"/>
      <c r="GBF192" s="17"/>
      <c r="GBG192" s="17"/>
      <c r="GBH192" s="17"/>
      <c r="GBI192" s="17"/>
      <c r="GBJ192" s="17"/>
      <c r="GBK192" s="17"/>
      <c r="GBL192" s="17"/>
      <c r="GBM192" s="17"/>
      <c r="GBN192" s="17"/>
      <c r="GBO192" s="17"/>
      <c r="GBP192" s="17"/>
      <c r="GBQ192" s="17"/>
      <c r="GBR192" s="17"/>
      <c r="GBS192" s="17"/>
      <c r="GBT192" s="17"/>
      <c r="GBU192" s="17"/>
      <c r="GBV192" s="17"/>
      <c r="GBW192" s="17"/>
      <c r="GBX192" s="17"/>
      <c r="GBY192" s="17"/>
      <c r="GBZ192" s="17"/>
      <c r="GCA192" s="17"/>
      <c r="GCB192" s="17"/>
      <c r="GCC192" s="17"/>
      <c r="GCD192" s="17"/>
      <c r="GCE192" s="17"/>
      <c r="GCF192" s="17"/>
      <c r="GCG192" s="17"/>
      <c r="GCH192" s="17"/>
      <c r="GCI192" s="17"/>
      <c r="GCJ192" s="17"/>
      <c r="GCK192" s="17"/>
      <c r="GCL192" s="17"/>
      <c r="GCM192" s="17"/>
      <c r="GCN192" s="17"/>
      <c r="GCO192" s="17"/>
      <c r="GCP192" s="17"/>
      <c r="GCQ192" s="17"/>
      <c r="GCR192" s="17"/>
      <c r="GCS192" s="17"/>
      <c r="GCT192" s="17"/>
      <c r="GCU192" s="17"/>
      <c r="GCV192" s="17"/>
      <c r="GCW192" s="17"/>
      <c r="GCX192" s="17"/>
      <c r="GCY192" s="17"/>
      <c r="GCZ192" s="17"/>
      <c r="GDA192" s="17"/>
      <c r="GDB192" s="17"/>
      <c r="GDC192" s="17"/>
      <c r="GDD192" s="17"/>
      <c r="GDE192" s="17"/>
      <c r="GDF192" s="17"/>
      <c r="GDG192" s="17"/>
      <c r="GDH192" s="17"/>
      <c r="GDI192" s="17"/>
      <c r="GDJ192" s="17"/>
      <c r="GDK192" s="17"/>
      <c r="GDL192" s="17"/>
      <c r="GDM192" s="17"/>
      <c r="GDN192" s="17"/>
      <c r="GDO192" s="17"/>
      <c r="GDP192" s="17"/>
      <c r="GDQ192" s="17"/>
      <c r="GDR192" s="17"/>
      <c r="GDS192" s="17"/>
      <c r="GDT192" s="17"/>
      <c r="GDU192" s="17"/>
      <c r="GDV192" s="17"/>
      <c r="GDW192" s="17"/>
      <c r="GDX192" s="17"/>
      <c r="GDY192" s="17"/>
      <c r="GDZ192" s="17"/>
      <c r="GEA192" s="17"/>
      <c r="GEB192" s="17"/>
      <c r="GEC192" s="17"/>
      <c r="GED192" s="17"/>
      <c r="GEE192" s="17"/>
      <c r="GEF192" s="17"/>
      <c r="GEG192" s="17"/>
      <c r="GEH192" s="17"/>
      <c r="GEI192" s="17"/>
      <c r="GEJ192" s="17"/>
      <c r="GEK192" s="17"/>
      <c r="GEL192" s="17"/>
      <c r="GEM192" s="17"/>
      <c r="GEN192" s="17"/>
      <c r="GEO192" s="17"/>
      <c r="GEP192" s="17"/>
      <c r="GEQ192" s="17"/>
      <c r="GER192" s="17"/>
      <c r="GES192" s="17"/>
      <c r="GET192" s="17"/>
      <c r="GEU192" s="17"/>
      <c r="GEV192" s="17"/>
      <c r="GEW192" s="17"/>
      <c r="GEX192" s="17"/>
      <c r="GEY192" s="17"/>
      <c r="GEZ192" s="17"/>
      <c r="GFA192" s="17"/>
      <c r="GFB192" s="17"/>
      <c r="GFC192" s="17"/>
      <c r="GFD192" s="17"/>
      <c r="GFE192" s="17"/>
      <c r="GFF192" s="17"/>
      <c r="GFG192" s="17"/>
      <c r="GFH192" s="17"/>
      <c r="GFI192" s="17"/>
      <c r="GFJ192" s="17"/>
      <c r="GFK192" s="17"/>
      <c r="GFL192" s="17"/>
      <c r="GFM192" s="17"/>
      <c r="GFN192" s="17"/>
      <c r="GFO192" s="17"/>
      <c r="GFP192" s="17"/>
      <c r="GFQ192" s="17"/>
      <c r="GFR192" s="17"/>
      <c r="GFS192" s="17"/>
      <c r="GFT192" s="17"/>
      <c r="GFU192" s="17"/>
      <c r="GFV192" s="17"/>
      <c r="GFW192" s="17"/>
      <c r="GFX192" s="17"/>
      <c r="GFY192" s="17"/>
      <c r="GFZ192" s="17"/>
      <c r="GGA192" s="17"/>
      <c r="GGB192" s="17"/>
      <c r="GGC192" s="17"/>
      <c r="GGD192" s="17"/>
      <c r="GGE192" s="17"/>
      <c r="GGF192" s="17"/>
      <c r="GGG192" s="17"/>
      <c r="GGH192" s="17"/>
      <c r="GGI192" s="17"/>
      <c r="GGJ192" s="17"/>
      <c r="GGK192" s="17"/>
      <c r="GGL192" s="17"/>
      <c r="GGM192" s="17"/>
      <c r="GGN192" s="17"/>
      <c r="GGO192" s="17"/>
      <c r="GGP192" s="17"/>
      <c r="GGQ192" s="17"/>
      <c r="GGR192" s="17"/>
      <c r="GGS192" s="17"/>
      <c r="GGT192" s="17"/>
      <c r="GGU192" s="17"/>
      <c r="GGV192" s="17"/>
      <c r="GGW192" s="17"/>
      <c r="GGX192" s="17"/>
      <c r="GGY192" s="17"/>
      <c r="GGZ192" s="17"/>
      <c r="GHA192" s="17"/>
      <c r="GHB192" s="17"/>
      <c r="GHC192" s="17"/>
      <c r="GHD192" s="17"/>
      <c r="GHE192" s="17"/>
      <c r="GHF192" s="17"/>
      <c r="GHG192" s="17"/>
      <c r="GHH192" s="17"/>
      <c r="GHI192" s="17"/>
      <c r="GHJ192" s="17"/>
      <c r="GHK192" s="17"/>
      <c r="GHL192" s="17"/>
      <c r="GHM192" s="17"/>
      <c r="GHN192" s="17"/>
      <c r="GHO192" s="17"/>
      <c r="GHP192" s="17"/>
      <c r="GHQ192" s="17"/>
      <c r="GHR192" s="17"/>
      <c r="GHS192" s="17"/>
      <c r="GHT192" s="17"/>
      <c r="GHU192" s="17"/>
      <c r="GHV192" s="17"/>
      <c r="GHW192" s="17"/>
      <c r="GHX192" s="17"/>
      <c r="GHY192" s="17"/>
      <c r="GHZ192" s="17"/>
      <c r="GIA192" s="17"/>
      <c r="GIB192" s="17"/>
      <c r="GIC192" s="17"/>
      <c r="GID192" s="17"/>
      <c r="GIE192" s="17"/>
      <c r="GIF192" s="17"/>
      <c r="GIG192" s="17"/>
      <c r="GIH192" s="17"/>
      <c r="GII192" s="17"/>
      <c r="GIJ192" s="17"/>
      <c r="GIK192" s="17"/>
      <c r="GIL192" s="17"/>
      <c r="GIM192" s="17"/>
      <c r="GIN192" s="17"/>
      <c r="GIO192" s="17"/>
      <c r="GIP192" s="17"/>
      <c r="GIQ192" s="17"/>
      <c r="GIR192" s="17"/>
      <c r="GIS192" s="17"/>
      <c r="GIT192" s="17"/>
      <c r="GIU192" s="17"/>
      <c r="GIV192" s="17"/>
      <c r="GIW192" s="17"/>
      <c r="GIX192" s="17"/>
      <c r="GIY192" s="17"/>
      <c r="GIZ192" s="17"/>
      <c r="GJA192" s="17"/>
      <c r="GJB192" s="17"/>
      <c r="GJC192" s="17"/>
      <c r="GJD192" s="17"/>
      <c r="GJE192" s="17"/>
      <c r="GJF192" s="17"/>
      <c r="GJG192" s="17"/>
      <c r="GJH192" s="17"/>
      <c r="GJI192" s="17"/>
      <c r="GJJ192" s="17"/>
      <c r="GJK192" s="17"/>
      <c r="GJL192" s="17"/>
      <c r="GJM192" s="17"/>
      <c r="GJN192" s="17"/>
      <c r="GJO192" s="17"/>
      <c r="GJP192" s="17"/>
      <c r="GJQ192" s="17"/>
      <c r="GJR192" s="17"/>
      <c r="GJS192" s="17"/>
      <c r="GJT192" s="17"/>
      <c r="GJU192" s="17"/>
      <c r="GJV192" s="17"/>
      <c r="GJW192" s="17"/>
      <c r="GJX192" s="17"/>
      <c r="GJY192" s="17"/>
      <c r="GJZ192" s="17"/>
      <c r="GKA192" s="17"/>
      <c r="GKB192" s="17"/>
      <c r="GKC192" s="17"/>
      <c r="GKD192" s="17"/>
      <c r="GKE192" s="17"/>
      <c r="GKF192" s="17"/>
      <c r="GKG192" s="17"/>
      <c r="GKH192" s="17"/>
      <c r="GKI192" s="17"/>
      <c r="GKJ192" s="17"/>
      <c r="GKK192" s="17"/>
      <c r="GKL192" s="17"/>
      <c r="GKM192" s="17"/>
      <c r="GKN192" s="17"/>
      <c r="GKO192" s="17"/>
      <c r="GKP192" s="17"/>
      <c r="GKQ192" s="17"/>
      <c r="GKR192" s="17"/>
      <c r="GKS192" s="17"/>
      <c r="GKT192" s="17"/>
      <c r="GKU192" s="17"/>
      <c r="GKV192" s="17"/>
      <c r="GKW192" s="17"/>
      <c r="GKX192" s="17"/>
      <c r="GKY192" s="17"/>
      <c r="GKZ192" s="17"/>
      <c r="GLA192" s="17"/>
      <c r="GLB192" s="17"/>
      <c r="GLC192" s="17"/>
      <c r="GLD192" s="17"/>
      <c r="GLE192" s="17"/>
      <c r="GLF192" s="17"/>
      <c r="GLG192" s="17"/>
      <c r="GLH192" s="17"/>
      <c r="GLI192" s="17"/>
      <c r="GLJ192" s="17"/>
      <c r="GLK192" s="17"/>
      <c r="GLL192" s="17"/>
      <c r="GLM192" s="17"/>
      <c r="GLN192" s="17"/>
      <c r="GLO192" s="17"/>
      <c r="GLP192" s="17"/>
      <c r="GLQ192" s="17"/>
      <c r="GLR192" s="17"/>
      <c r="GLS192" s="17"/>
      <c r="GLT192" s="17"/>
      <c r="GLU192" s="17"/>
      <c r="GLV192" s="17"/>
      <c r="GLW192" s="17"/>
      <c r="GLX192" s="17"/>
      <c r="GLY192" s="17"/>
      <c r="GLZ192" s="17"/>
      <c r="GMA192" s="17"/>
      <c r="GMB192" s="17"/>
      <c r="GMC192" s="17"/>
      <c r="GMD192" s="17"/>
      <c r="GME192" s="17"/>
      <c r="GMF192" s="17"/>
      <c r="GMG192" s="17"/>
      <c r="GMH192" s="17"/>
      <c r="GMI192" s="17"/>
      <c r="GMJ192" s="17"/>
      <c r="GMK192" s="17"/>
      <c r="GML192" s="17"/>
      <c r="GMM192" s="17"/>
      <c r="GMN192" s="17"/>
      <c r="GMO192" s="17"/>
      <c r="GMP192" s="17"/>
      <c r="GMQ192" s="17"/>
      <c r="GMR192" s="17"/>
      <c r="GMS192" s="17"/>
      <c r="GMT192" s="17"/>
      <c r="GMU192" s="17"/>
      <c r="GMV192" s="17"/>
      <c r="GMW192" s="17"/>
      <c r="GMX192" s="17"/>
      <c r="GMY192" s="17"/>
      <c r="GMZ192" s="17"/>
      <c r="GNA192" s="17"/>
      <c r="GNB192" s="17"/>
      <c r="GNC192" s="17"/>
      <c r="GND192" s="17"/>
      <c r="GNE192" s="17"/>
      <c r="GNF192" s="17"/>
      <c r="GNG192" s="17"/>
      <c r="GNH192" s="17"/>
      <c r="GNI192" s="17"/>
      <c r="GNJ192" s="17"/>
      <c r="GNK192" s="17"/>
      <c r="GNL192" s="17"/>
      <c r="GNM192" s="17"/>
      <c r="GNN192" s="17"/>
      <c r="GNO192" s="17"/>
      <c r="GNP192" s="17"/>
      <c r="GNQ192" s="17"/>
      <c r="GNR192" s="17"/>
      <c r="GNS192" s="17"/>
      <c r="GNT192" s="17"/>
      <c r="GNU192" s="17"/>
      <c r="GNV192" s="17"/>
      <c r="GNW192" s="17"/>
      <c r="GNX192" s="17"/>
      <c r="GNY192" s="17"/>
      <c r="GNZ192" s="17"/>
      <c r="GOA192" s="17"/>
      <c r="GOB192" s="17"/>
      <c r="GOC192" s="17"/>
      <c r="GOD192" s="17"/>
      <c r="GOE192" s="17"/>
      <c r="GOF192" s="17"/>
      <c r="GOG192" s="17"/>
      <c r="GOH192" s="17"/>
      <c r="GOI192" s="17"/>
      <c r="GOJ192" s="17"/>
      <c r="GOK192" s="17"/>
      <c r="GOL192" s="17"/>
      <c r="GOM192" s="17"/>
      <c r="GON192" s="17"/>
      <c r="GOO192" s="17"/>
      <c r="GOP192" s="17"/>
      <c r="GOQ192" s="17"/>
      <c r="GOR192" s="17"/>
      <c r="GOS192" s="17"/>
      <c r="GOT192" s="17"/>
      <c r="GOU192" s="17"/>
      <c r="GOV192" s="17"/>
      <c r="GOW192" s="17"/>
      <c r="GOX192" s="17"/>
      <c r="GOY192" s="17"/>
      <c r="GOZ192" s="17"/>
      <c r="GPA192" s="17"/>
      <c r="GPB192" s="17"/>
      <c r="GPC192" s="17"/>
      <c r="GPD192" s="17"/>
      <c r="GPE192" s="17"/>
      <c r="GPF192" s="17"/>
      <c r="GPG192" s="17"/>
      <c r="GPH192" s="17"/>
      <c r="GPI192" s="17"/>
      <c r="GPJ192" s="17"/>
      <c r="GPK192" s="17"/>
      <c r="GPL192" s="17"/>
      <c r="GPM192" s="17"/>
      <c r="GPN192" s="17"/>
      <c r="GPO192" s="17"/>
      <c r="GPP192" s="17"/>
      <c r="GPQ192" s="17"/>
      <c r="GPR192" s="17"/>
      <c r="GPS192" s="17"/>
      <c r="GPT192" s="17"/>
      <c r="GPU192" s="17"/>
      <c r="GPV192" s="17"/>
      <c r="GPW192" s="17"/>
      <c r="GPX192" s="17"/>
      <c r="GPY192" s="17"/>
      <c r="GPZ192" s="17"/>
      <c r="GQA192" s="17"/>
      <c r="GQB192" s="17"/>
      <c r="GQC192" s="17"/>
      <c r="GQD192" s="17"/>
      <c r="GQE192" s="17"/>
      <c r="GQF192" s="17"/>
      <c r="GQG192" s="17"/>
      <c r="GQH192" s="17"/>
      <c r="GQI192" s="17"/>
      <c r="GQJ192" s="17"/>
      <c r="GQK192" s="17"/>
      <c r="GQL192" s="17"/>
      <c r="GQM192" s="17"/>
      <c r="GQN192" s="17"/>
      <c r="GQO192" s="17"/>
      <c r="GQP192" s="17"/>
      <c r="GQQ192" s="17"/>
      <c r="GQR192" s="17"/>
      <c r="GQS192" s="17"/>
      <c r="GQT192" s="17"/>
      <c r="GQU192" s="17"/>
      <c r="GQV192" s="17"/>
      <c r="GQW192" s="17"/>
      <c r="GQX192" s="17"/>
      <c r="GQY192" s="17"/>
      <c r="GQZ192" s="17"/>
      <c r="GRA192" s="17"/>
      <c r="GRB192" s="17"/>
      <c r="GRC192" s="17"/>
      <c r="GRD192" s="17"/>
      <c r="GRE192" s="17"/>
      <c r="GRF192" s="17"/>
      <c r="GRG192" s="17"/>
      <c r="GRH192" s="17"/>
      <c r="GRI192" s="17"/>
      <c r="GRJ192" s="17"/>
      <c r="GRK192" s="17"/>
      <c r="GRL192" s="17"/>
      <c r="GRM192" s="17"/>
      <c r="GRN192" s="17"/>
      <c r="GRO192" s="17"/>
      <c r="GRP192" s="17"/>
      <c r="GRQ192" s="17"/>
      <c r="GRR192" s="17"/>
      <c r="GRS192" s="17"/>
      <c r="GRT192" s="17"/>
      <c r="GRU192" s="17"/>
      <c r="GRV192" s="17"/>
      <c r="GRW192" s="17"/>
      <c r="GRX192" s="17"/>
      <c r="GRY192" s="17"/>
      <c r="GRZ192" s="17"/>
      <c r="GSA192" s="17"/>
      <c r="GSB192" s="17"/>
      <c r="GSC192" s="17"/>
      <c r="GSD192" s="17"/>
      <c r="GSE192" s="17"/>
      <c r="GSF192" s="17"/>
      <c r="GSG192" s="17"/>
      <c r="GSH192" s="17"/>
      <c r="GSI192" s="17"/>
      <c r="GSJ192" s="17"/>
      <c r="GSK192" s="17"/>
      <c r="GSL192" s="17"/>
      <c r="GSM192" s="17"/>
      <c r="GSN192" s="17"/>
      <c r="GSO192" s="17"/>
      <c r="GSP192" s="17"/>
      <c r="GSQ192" s="17"/>
      <c r="GSR192" s="17"/>
      <c r="GSS192" s="17"/>
      <c r="GST192" s="17"/>
      <c r="GSU192" s="17"/>
      <c r="GSV192" s="17"/>
      <c r="GSW192" s="17"/>
      <c r="GSX192" s="17"/>
      <c r="GSY192" s="17"/>
      <c r="GSZ192" s="17"/>
      <c r="GTA192" s="17"/>
      <c r="GTB192" s="17"/>
      <c r="GTC192" s="17"/>
      <c r="GTD192" s="17"/>
      <c r="GTE192" s="17"/>
      <c r="GTF192" s="17"/>
      <c r="GTG192" s="17"/>
      <c r="GTH192" s="17"/>
      <c r="GTI192" s="17"/>
      <c r="GTJ192" s="17"/>
      <c r="GTK192" s="17"/>
      <c r="GTL192" s="17"/>
      <c r="GTM192" s="17"/>
      <c r="GTN192" s="17"/>
      <c r="GTO192" s="17"/>
      <c r="GTP192" s="17"/>
      <c r="GTQ192" s="17"/>
      <c r="GTR192" s="17"/>
      <c r="GTS192" s="17"/>
      <c r="GTT192" s="17"/>
      <c r="GTU192" s="17"/>
      <c r="GTV192" s="17"/>
      <c r="GTW192" s="17"/>
      <c r="GTX192" s="17"/>
      <c r="GTY192" s="17"/>
      <c r="GTZ192" s="17"/>
      <c r="GUA192" s="17"/>
      <c r="GUB192" s="17"/>
      <c r="GUC192" s="17"/>
      <c r="GUD192" s="17"/>
      <c r="GUE192" s="17"/>
      <c r="GUF192" s="17"/>
      <c r="GUG192" s="17"/>
      <c r="GUH192" s="17"/>
      <c r="GUI192" s="17"/>
      <c r="GUJ192" s="17"/>
      <c r="GUK192" s="17"/>
      <c r="GUL192" s="17"/>
      <c r="GUM192" s="17"/>
      <c r="GUN192" s="17"/>
      <c r="GUO192" s="17"/>
      <c r="GUP192" s="17"/>
      <c r="GUQ192" s="17"/>
      <c r="GUR192" s="17"/>
      <c r="GUS192" s="17"/>
      <c r="GUT192" s="17"/>
      <c r="GUU192" s="17"/>
      <c r="GUV192" s="17"/>
      <c r="GUW192" s="17"/>
      <c r="GUX192" s="17"/>
      <c r="GUY192" s="17"/>
      <c r="GUZ192" s="17"/>
      <c r="GVA192" s="17"/>
      <c r="GVB192" s="17"/>
      <c r="GVC192" s="17"/>
      <c r="GVD192" s="17"/>
      <c r="GVE192" s="17"/>
      <c r="GVF192" s="17"/>
      <c r="GVG192" s="17"/>
      <c r="GVH192" s="17"/>
      <c r="GVI192" s="17"/>
      <c r="GVJ192" s="17"/>
      <c r="GVK192" s="17"/>
      <c r="GVL192" s="17"/>
      <c r="GVM192" s="17"/>
      <c r="GVN192" s="17"/>
      <c r="GVO192" s="17"/>
      <c r="GVP192" s="17"/>
      <c r="GVQ192" s="17"/>
      <c r="GVR192" s="17"/>
      <c r="GVS192" s="17"/>
      <c r="GVT192" s="17"/>
      <c r="GVU192" s="17"/>
      <c r="GVV192" s="17"/>
      <c r="GVW192" s="17"/>
      <c r="GVX192" s="17"/>
      <c r="GVY192" s="17"/>
      <c r="GVZ192" s="17"/>
      <c r="GWA192" s="17"/>
      <c r="GWB192" s="17"/>
      <c r="GWC192" s="17"/>
      <c r="GWD192" s="17"/>
      <c r="GWE192" s="17"/>
      <c r="GWF192" s="17"/>
      <c r="GWG192" s="17"/>
      <c r="GWH192" s="17"/>
      <c r="GWI192" s="17"/>
      <c r="GWJ192" s="17"/>
      <c r="GWK192" s="17"/>
      <c r="GWL192" s="17"/>
      <c r="GWM192" s="17"/>
      <c r="GWN192" s="17"/>
      <c r="GWO192" s="17"/>
      <c r="GWP192" s="17"/>
      <c r="GWQ192" s="17"/>
      <c r="GWR192" s="17"/>
      <c r="GWS192" s="17"/>
      <c r="GWT192" s="17"/>
      <c r="GWU192" s="17"/>
      <c r="GWV192" s="17"/>
      <c r="GWW192" s="17"/>
      <c r="GWX192" s="17"/>
      <c r="GWY192" s="17"/>
      <c r="GWZ192" s="17"/>
      <c r="GXA192" s="17"/>
      <c r="GXB192" s="17"/>
      <c r="GXC192" s="17"/>
      <c r="GXD192" s="17"/>
      <c r="GXE192" s="17"/>
      <c r="GXF192" s="17"/>
      <c r="GXG192" s="17"/>
      <c r="GXH192" s="17"/>
      <c r="GXI192" s="17"/>
      <c r="GXJ192" s="17"/>
      <c r="GXK192" s="17"/>
      <c r="GXL192" s="17"/>
      <c r="GXM192" s="17"/>
      <c r="GXN192" s="17"/>
      <c r="GXO192" s="17"/>
      <c r="GXP192" s="17"/>
      <c r="GXQ192" s="17"/>
      <c r="GXR192" s="17"/>
      <c r="GXS192" s="17"/>
      <c r="GXT192" s="17"/>
      <c r="GXU192" s="17"/>
      <c r="GXV192" s="17"/>
      <c r="GXW192" s="17"/>
      <c r="GXX192" s="17"/>
      <c r="GXY192" s="17"/>
      <c r="GXZ192" s="17"/>
      <c r="GYA192" s="17"/>
      <c r="GYB192" s="17"/>
      <c r="GYC192" s="17"/>
      <c r="GYD192" s="17"/>
      <c r="GYE192" s="17"/>
      <c r="GYF192" s="17"/>
      <c r="GYG192" s="17"/>
      <c r="GYH192" s="17"/>
      <c r="GYI192" s="17"/>
      <c r="GYJ192" s="17"/>
      <c r="GYK192" s="17"/>
      <c r="GYL192" s="17"/>
      <c r="GYM192" s="17"/>
      <c r="GYN192" s="17"/>
      <c r="GYO192" s="17"/>
      <c r="GYP192" s="17"/>
      <c r="GYQ192" s="17"/>
      <c r="GYR192" s="17"/>
      <c r="GYS192" s="17"/>
      <c r="GYT192" s="17"/>
      <c r="GYU192" s="17"/>
      <c r="GYV192" s="17"/>
      <c r="GYW192" s="17"/>
      <c r="GYX192" s="17"/>
      <c r="GYY192" s="17"/>
      <c r="GYZ192" s="17"/>
      <c r="GZA192" s="17"/>
      <c r="GZB192" s="17"/>
      <c r="GZC192" s="17"/>
      <c r="GZD192" s="17"/>
      <c r="GZE192" s="17"/>
      <c r="GZF192" s="17"/>
      <c r="GZG192" s="17"/>
      <c r="GZH192" s="17"/>
      <c r="GZI192" s="17"/>
      <c r="GZJ192" s="17"/>
      <c r="GZK192" s="17"/>
      <c r="GZL192" s="17"/>
      <c r="GZM192" s="17"/>
      <c r="GZN192" s="17"/>
      <c r="GZO192" s="17"/>
      <c r="GZP192" s="17"/>
      <c r="GZQ192" s="17"/>
      <c r="GZR192" s="17"/>
      <c r="GZS192" s="17"/>
      <c r="GZT192" s="17"/>
      <c r="GZU192" s="17"/>
      <c r="GZV192" s="17"/>
      <c r="GZW192" s="17"/>
      <c r="GZX192" s="17"/>
      <c r="GZY192" s="17"/>
      <c r="GZZ192" s="17"/>
      <c r="HAA192" s="17"/>
      <c r="HAB192" s="17"/>
      <c r="HAC192" s="17"/>
      <c r="HAD192" s="17"/>
      <c r="HAE192" s="17"/>
      <c r="HAF192" s="17"/>
      <c r="HAG192" s="17"/>
      <c r="HAH192" s="17"/>
      <c r="HAI192" s="17"/>
      <c r="HAJ192" s="17"/>
      <c r="HAK192" s="17"/>
      <c r="HAL192" s="17"/>
      <c r="HAM192" s="17"/>
      <c r="HAN192" s="17"/>
      <c r="HAO192" s="17"/>
      <c r="HAP192" s="17"/>
      <c r="HAQ192" s="17"/>
      <c r="HAR192" s="17"/>
      <c r="HAS192" s="17"/>
      <c r="HAT192" s="17"/>
      <c r="HAU192" s="17"/>
      <c r="HAV192" s="17"/>
      <c r="HAW192" s="17"/>
      <c r="HAX192" s="17"/>
      <c r="HAY192" s="17"/>
      <c r="HAZ192" s="17"/>
      <c r="HBA192" s="17"/>
      <c r="HBB192" s="17"/>
      <c r="HBC192" s="17"/>
      <c r="HBD192" s="17"/>
      <c r="HBE192" s="17"/>
      <c r="HBF192" s="17"/>
      <c r="HBG192" s="17"/>
      <c r="HBH192" s="17"/>
      <c r="HBI192" s="17"/>
      <c r="HBJ192" s="17"/>
      <c r="HBK192" s="17"/>
      <c r="HBL192" s="17"/>
      <c r="HBM192" s="17"/>
      <c r="HBN192" s="17"/>
      <c r="HBO192" s="17"/>
      <c r="HBP192" s="17"/>
      <c r="HBQ192" s="17"/>
      <c r="HBR192" s="17"/>
      <c r="HBS192" s="17"/>
      <c r="HBT192" s="17"/>
      <c r="HBU192" s="17"/>
      <c r="HBV192" s="17"/>
      <c r="HBW192" s="17"/>
      <c r="HBX192" s="17"/>
      <c r="HBY192" s="17"/>
      <c r="HBZ192" s="17"/>
      <c r="HCA192" s="17"/>
      <c r="HCB192" s="17"/>
      <c r="HCC192" s="17"/>
      <c r="HCD192" s="17"/>
      <c r="HCE192" s="17"/>
      <c r="HCF192" s="17"/>
      <c r="HCG192" s="17"/>
      <c r="HCH192" s="17"/>
      <c r="HCI192" s="17"/>
      <c r="HCJ192" s="17"/>
      <c r="HCK192" s="17"/>
      <c r="HCL192" s="17"/>
      <c r="HCM192" s="17"/>
      <c r="HCN192" s="17"/>
      <c r="HCO192" s="17"/>
      <c r="HCP192" s="17"/>
      <c r="HCQ192" s="17"/>
      <c r="HCR192" s="17"/>
      <c r="HCS192" s="17"/>
      <c r="HCT192" s="17"/>
      <c r="HCU192" s="17"/>
      <c r="HCV192" s="17"/>
      <c r="HCW192" s="17"/>
      <c r="HCX192" s="17"/>
      <c r="HCY192" s="17"/>
      <c r="HCZ192" s="17"/>
      <c r="HDA192" s="17"/>
      <c r="HDB192" s="17"/>
      <c r="HDC192" s="17"/>
      <c r="HDD192" s="17"/>
      <c r="HDE192" s="17"/>
      <c r="HDF192" s="17"/>
      <c r="HDG192" s="17"/>
      <c r="HDH192" s="17"/>
      <c r="HDI192" s="17"/>
      <c r="HDJ192" s="17"/>
      <c r="HDK192" s="17"/>
      <c r="HDL192" s="17"/>
      <c r="HDM192" s="17"/>
      <c r="HDN192" s="17"/>
      <c r="HDO192" s="17"/>
      <c r="HDP192" s="17"/>
      <c r="HDQ192" s="17"/>
      <c r="HDR192" s="17"/>
      <c r="HDS192" s="17"/>
      <c r="HDT192" s="17"/>
      <c r="HDU192" s="17"/>
      <c r="HDV192" s="17"/>
      <c r="HDW192" s="17"/>
      <c r="HDX192" s="17"/>
      <c r="HDY192" s="17"/>
      <c r="HDZ192" s="17"/>
      <c r="HEA192" s="17"/>
      <c r="HEB192" s="17"/>
      <c r="HEC192" s="17"/>
      <c r="HED192" s="17"/>
      <c r="HEE192" s="17"/>
      <c r="HEF192" s="17"/>
      <c r="HEG192" s="17"/>
      <c r="HEH192" s="17"/>
      <c r="HEI192" s="17"/>
      <c r="HEJ192" s="17"/>
      <c r="HEK192" s="17"/>
      <c r="HEL192" s="17"/>
      <c r="HEM192" s="17"/>
      <c r="HEN192" s="17"/>
      <c r="HEO192" s="17"/>
      <c r="HEP192" s="17"/>
      <c r="HEQ192" s="17"/>
      <c r="HER192" s="17"/>
      <c r="HES192" s="17"/>
      <c r="HET192" s="17"/>
      <c r="HEU192" s="17"/>
      <c r="HEV192" s="17"/>
      <c r="HEW192" s="17"/>
      <c r="HEX192" s="17"/>
      <c r="HEY192" s="17"/>
      <c r="HEZ192" s="17"/>
      <c r="HFA192" s="17"/>
      <c r="HFB192" s="17"/>
      <c r="HFC192" s="17"/>
      <c r="HFD192" s="17"/>
      <c r="HFE192" s="17"/>
      <c r="HFF192" s="17"/>
      <c r="HFG192" s="17"/>
      <c r="HFH192" s="17"/>
      <c r="HFI192" s="17"/>
      <c r="HFJ192" s="17"/>
      <c r="HFK192" s="17"/>
      <c r="HFL192" s="17"/>
      <c r="HFM192" s="17"/>
      <c r="HFN192" s="17"/>
      <c r="HFO192" s="17"/>
      <c r="HFP192" s="17"/>
      <c r="HFQ192" s="17"/>
      <c r="HFR192" s="17"/>
      <c r="HFS192" s="17"/>
      <c r="HFT192" s="17"/>
      <c r="HFU192" s="17"/>
      <c r="HFV192" s="17"/>
      <c r="HFW192" s="17"/>
      <c r="HFX192" s="17"/>
      <c r="HFY192" s="17"/>
      <c r="HFZ192" s="17"/>
      <c r="HGA192" s="17"/>
      <c r="HGB192" s="17"/>
      <c r="HGC192" s="17"/>
      <c r="HGD192" s="17"/>
      <c r="HGE192" s="17"/>
      <c r="HGF192" s="17"/>
      <c r="HGG192" s="17"/>
      <c r="HGH192" s="17"/>
      <c r="HGI192" s="17"/>
      <c r="HGJ192" s="17"/>
      <c r="HGK192" s="17"/>
      <c r="HGL192" s="17"/>
      <c r="HGM192" s="17"/>
      <c r="HGN192" s="17"/>
      <c r="HGO192" s="17"/>
      <c r="HGP192" s="17"/>
      <c r="HGQ192" s="17"/>
      <c r="HGR192" s="17"/>
      <c r="HGS192" s="17"/>
      <c r="HGT192" s="17"/>
      <c r="HGU192" s="17"/>
      <c r="HGV192" s="17"/>
      <c r="HGW192" s="17"/>
      <c r="HGX192" s="17"/>
      <c r="HGY192" s="17"/>
      <c r="HGZ192" s="17"/>
      <c r="HHA192" s="17"/>
      <c r="HHB192" s="17"/>
      <c r="HHC192" s="17"/>
      <c r="HHD192" s="17"/>
      <c r="HHE192" s="17"/>
      <c r="HHF192" s="17"/>
      <c r="HHG192" s="17"/>
      <c r="HHH192" s="17"/>
      <c r="HHI192" s="17"/>
      <c r="HHJ192" s="17"/>
      <c r="HHK192" s="17"/>
      <c r="HHL192" s="17"/>
      <c r="HHM192" s="17"/>
      <c r="HHN192" s="17"/>
      <c r="HHO192" s="17"/>
      <c r="HHP192" s="17"/>
      <c r="HHQ192" s="17"/>
      <c r="HHR192" s="17"/>
      <c r="HHS192" s="17"/>
      <c r="HHT192" s="17"/>
      <c r="HHU192" s="17"/>
      <c r="HHV192" s="17"/>
      <c r="HHW192" s="17"/>
      <c r="HHX192" s="17"/>
      <c r="HHY192" s="17"/>
      <c r="HHZ192" s="17"/>
      <c r="HIA192" s="17"/>
      <c r="HIB192" s="17"/>
      <c r="HIC192" s="17"/>
      <c r="HID192" s="17"/>
      <c r="HIE192" s="17"/>
      <c r="HIF192" s="17"/>
      <c r="HIG192" s="17"/>
      <c r="HIH192" s="17"/>
      <c r="HII192" s="17"/>
      <c r="HIJ192" s="17"/>
      <c r="HIK192" s="17"/>
      <c r="HIL192" s="17"/>
      <c r="HIM192" s="17"/>
      <c r="HIN192" s="17"/>
      <c r="HIO192" s="17"/>
      <c r="HIP192" s="17"/>
      <c r="HIQ192" s="17"/>
      <c r="HIR192" s="17"/>
      <c r="HIS192" s="17"/>
      <c r="HIT192" s="17"/>
      <c r="HIU192" s="17"/>
      <c r="HIV192" s="17"/>
      <c r="HIW192" s="17"/>
      <c r="HIX192" s="17"/>
      <c r="HIY192" s="17"/>
      <c r="HIZ192" s="17"/>
      <c r="HJA192" s="17"/>
      <c r="HJB192" s="17"/>
      <c r="HJC192" s="17"/>
      <c r="HJD192" s="17"/>
      <c r="HJE192" s="17"/>
      <c r="HJF192" s="17"/>
      <c r="HJG192" s="17"/>
      <c r="HJH192" s="17"/>
      <c r="HJI192" s="17"/>
      <c r="HJJ192" s="17"/>
      <c r="HJK192" s="17"/>
      <c r="HJL192" s="17"/>
      <c r="HJM192" s="17"/>
      <c r="HJN192" s="17"/>
      <c r="HJO192" s="17"/>
      <c r="HJP192" s="17"/>
      <c r="HJQ192" s="17"/>
      <c r="HJR192" s="17"/>
      <c r="HJS192" s="17"/>
      <c r="HJT192" s="17"/>
      <c r="HJU192" s="17"/>
      <c r="HJV192" s="17"/>
      <c r="HJW192" s="17"/>
      <c r="HJX192" s="17"/>
      <c r="HJY192" s="17"/>
      <c r="HJZ192" s="17"/>
      <c r="HKA192" s="17"/>
      <c r="HKB192" s="17"/>
      <c r="HKC192" s="17"/>
      <c r="HKD192" s="17"/>
      <c r="HKE192" s="17"/>
      <c r="HKF192" s="17"/>
      <c r="HKG192" s="17"/>
      <c r="HKH192" s="17"/>
      <c r="HKI192" s="17"/>
      <c r="HKJ192" s="17"/>
      <c r="HKK192" s="17"/>
      <c r="HKL192" s="17"/>
      <c r="HKM192" s="17"/>
      <c r="HKN192" s="17"/>
      <c r="HKO192" s="17"/>
      <c r="HKP192" s="17"/>
      <c r="HKQ192" s="17"/>
      <c r="HKR192" s="17"/>
      <c r="HKS192" s="17"/>
      <c r="HKT192" s="17"/>
      <c r="HKU192" s="17"/>
      <c r="HKV192" s="17"/>
      <c r="HKW192" s="17"/>
      <c r="HKX192" s="17"/>
      <c r="HKY192" s="17"/>
      <c r="HKZ192" s="17"/>
      <c r="HLA192" s="17"/>
      <c r="HLB192" s="17"/>
      <c r="HLC192" s="17"/>
      <c r="HLD192" s="17"/>
      <c r="HLE192" s="17"/>
      <c r="HLF192" s="17"/>
      <c r="HLG192" s="17"/>
      <c r="HLH192" s="17"/>
      <c r="HLI192" s="17"/>
      <c r="HLJ192" s="17"/>
      <c r="HLK192" s="17"/>
      <c r="HLL192" s="17"/>
      <c r="HLM192" s="17"/>
      <c r="HLN192" s="17"/>
      <c r="HLO192" s="17"/>
      <c r="HLP192" s="17"/>
      <c r="HLQ192" s="17"/>
      <c r="HLR192" s="17"/>
      <c r="HLS192" s="17"/>
      <c r="HLT192" s="17"/>
      <c r="HLU192" s="17"/>
      <c r="HLV192" s="17"/>
      <c r="HLW192" s="17"/>
      <c r="HLX192" s="17"/>
      <c r="HLY192" s="17"/>
      <c r="HLZ192" s="17"/>
      <c r="HMA192" s="17"/>
      <c r="HMB192" s="17"/>
      <c r="HMC192" s="17"/>
      <c r="HMD192" s="17"/>
      <c r="HME192" s="17"/>
      <c r="HMF192" s="17"/>
      <c r="HMG192" s="17"/>
      <c r="HMH192" s="17"/>
      <c r="HMI192" s="17"/>
      <c r="HMJ192" s="17"/>
      <c r="HMK192" s="17"/>
      <c r="HML192" s="17"/>
      <c r="HMM192" s="17"/>
      <c r="HMN192" s="17"/>
      <c r="HMO192" s="17"/>
      <c r="HMP192" s="17"/>
      <c r="HMQ192" s="17"/>
      <c r="HMR192" s="17"/>
      <c r="HMS192" s="17"/>
      <c r="HMT192" s="17"/>
      <c r="HMU192" s="17"/>
      <c r="HMV192" s="17"/>
      <c r="HMW192" s="17"/>
      <c r="HMX192" s="17"/>
      <c r="HMY192" s="17"/>
      <c r="HMZ192" s="17"/>
      <c r="HNA192" s="17"/>
      <c r="HNB192" s="17"/>
      <c r="HNC192" s="17"/>
      <c r="HND192" s="17"/>
      <c r="HNE192" s="17"/>
      <c r="HNF192" s="17"/>
      <c r="HNG192" s="17"/>
      <c r="HNH192" s="17"/>
      <c r="HNI192" s="17"/>
      <c r="HNJ192" s="17"/>
      <c r="HNK192" s="17"/>
      <c r="HNL192" s="17"/>
      <c r="HNM192" s="17"/>
      <c r="HNN192" s="17"/>
      <c r="HNO192" s="17"/>
      <c r="HNP192" s="17"/>
      <c r="HNQ192" s="17"/>
      <c r="HNR192" s="17"/>
      <c r="HNS192" s="17"/>
      <c r="HNT192" s="17"/>
      <c r="HNU192" s="17"/>
      <c r="HNV192" s="17"/>
      <c r="HNW192" s="17"/>
      <c r="HNX192" s="17"/>
      <c r="HNY192" s="17"/>
      <c r="HNZ192" s="17"/>
      <c r="HOA192" s="17"/>
      <c r="HOB192" s="17"/>
      <c r="HOC192" s="17"/>
      <c r="HOD192" s="17"/>
      <c r="HOE192" s="17"/>
      <c r="HOF192" s="17"/>
      <c r="HOG192" s="17"/>
      <c r="HOH192" s="17"/>
      <c r="HOI192" s="17"/>
      <c r="HOJ192" s="17"/>
      <c r="HOK192" s="17"/>
      <c r="HOL192" s="17"/>
      <c r="HOM192" s="17"/>
      <c r="HON192" s="17"/>
      <c r="HOO192" s="17"/>
      <c r="HOP192" s="17"/>
      <c r="HOQ192" s="17"/>
      <c r="HOR192" s="17"/>
      <c r="HOS192" s="17"/>
      <c r="HOT192" s="17"/>
      <c r="HOU192" s="17"/>
      <c r="HOV192" s="17"/>
      <c r="HOW192" s="17"/>
      <c r="HOX192" s="17"/>
      <c r="HOY192" s="17"/>
      <c r="HOZ192" s="17"/>
      <c r="HPA192" s="17"/>
      <c r="HPB192" s="17"/>
      <c r="HPC192" s="17"/>
      <c r="HPD192" s="17"/>
      <c r="HPE192" s="17"/>
      <c r="HPF192" s="17"/>
      <c r="HPG192" s="17"/>
      <c r="HPH192" s="17"/>
      <c r="HPI192" s="17"/>
      <c r="HPJ192" s="17"/>
      <c r="HPK192" s="17"/>
      <c r="HPL192" s="17"/>
      <c r="HPM192" s="17"/>
      <c r="HPN192" s="17"/>
      <c r="HPO192" s="17"/>
      <c r="HPP192" s="17"/>
      <c r="HPQ192" s="17"/>
      <c r="HPR192" s="17"/>
      <c r="HPS192" s="17"/>
      <c r="HPT192" s="17"/>
      <c r="HPU192" s="17"/>
      <c r="HPV192" s="17"/>
      <c r="HPW192" s="17"/>
      <c r="HPX192" s="17"/>
      <c r="HPY192" s="17"/>
      <c r="HPZ192" s="17"/>
      <c r="HQA192" s="17"/>
      <c r="HQB192" s="17"/>
      <c r="HQC192" s="17"/>
      <c r="HQD192" s="17"/>
      <c r="HQE192" s="17"/>
      <c r="HQF192" s="17"/>
      <c r="HQG192" s="17"/>
      <c r="HQH192" s="17"/>
      <c r="HQI192" s="17"/>
      <c r="HQJ192" s="17"/>
      <c r="HQK192" s="17"/>
      <c r="HQL192" s="17"/>
      <c r="HQM192" s="17"/>
      <c r="HQN192" s="17"/>
      <c r="HQO192" s="17"/>
      <c r="HQP192" s="17"/>
      <c r="HQQ192" s="17"/>
      <c r="HQR192" s="17"/>
      <c r="HQS192" s="17"/>
      <c r="HQT192" s="17"/>
      <c r="HQU192" s="17"/>
      <c r="HQV192" s="17"/>
      <c r="HQW192" s="17"/>
      <c r="HQX192" s="17"/>
      <c r="HQY192" s="17"/>
      <c r="HQZ192" s="17"/>
      <c r="HRA192" s="17"/>
      <c r="HRB192" s="17"/>
      <c r="HRC192" s="17"/>
      <c r="HRD192" s="17"/>
      <c r="HRE192" s="17"/>
      <c r="HRF192" s="17"/>
      <c r="HRG192" s="17"/>
      <c r="HRH192" s="17"/>
      <c r="HRI192" s="17"/>
      <c r="HRJ192" s="17"/>
      <c r="HRK192" s="17"/>
      <c r="HRL192" s="17"/>
      <c r="HRM192" s="17"/>
      <c r="HRN192" s="17"/>
      <c r="HRO192" s="17"/>
      <c r="HRP192" s="17"/>
      <c r="HRQ192" s="17"/>
      <c r="HRR192" s="17"/>
      <c r="HRS192" s="17"/>
      <c r="HRT192" s="17"/>
      <c r="HRU192" s="17"/>
      <c r="HRV192" s="17"/>
      <c r="HRW192" s="17"/>
      <c r="HRX192" s="17"/>
      <c r="HRY192" s="17"/>
      <c r="HRZ192" s="17"/>
      <c r="HSA192" s="17"/>
      <c r="HSB192" s="17"/>
      <c r="HSC192" s="17"/>
      <c r="HSD192" s="17"/>
      <c r="HSE192" s="17"/>
      <c r="HSF192" s="17"/>
      <c r="HSG192" s="17"/>
      <c r="HSH192" s="17"/>
      <c r="HSI192" s="17"/>
      <c r="HSJ192" s="17"/>
      <c r="HSK192" s="17"/>
      <c r="HSL192" s="17"/>
      <c r="HSM192" s="17"/>
      <c r="HSN192" s="17"/>
      <c r="HSO192" s="17"/>
      <c r="HSP192" s="17"/>
      <c r="HSQ192" s="17"/>
      <c r="HSR192" s="17"/>
      <c r="HSS192" s="17"/>
      <c r="HST192" s="17"/>
      <c r="HSU192" s="17"/>
      <c r="HSV192" s="17"/>
      <c r="HSW192" s="17"/>
      <c r="HSX192" s="17"/>
      <c r="HSY192" s="17"/>
      <c r="HSZ192" s="17"/>
      <c r="HTA192" s="17"/>
      <c r="HTB192" s="17"/>
      <c r="HTC192" s="17"/>
      <c r="HTD192" s="17"/>
      <c r="HTE192" s="17"/>
      <c r="HTF192" s="17"/>
      <c r="HTG192" s="17"/>
      <c r="HTH192" s="17"/>
      <c r="HTI192" s="17"/>
      <c r="HTJ192" s="17"/>
      <c r="HTK192" s="17"/>
      <c r="HTL192" s="17"/>
      <c r="HTM192" s="17"/>
      <c r="HTN192" s="17"/>
      <c r="HTO192" s="17"/>
      <c r="HTP192" s="17"/>
      <c r="HTQ192" s="17"/>
      <c r="HTR192" s="17"/>
      <c r="HTS192" s="17"/>
      <c r="HTT192" s="17"/>
      <c r="HTU192" s="17"/>
      <c r="HTV192" s="17"/>
      <c r="HTW192" s="17"/>
      <c r="HTX192" s="17"/>
      <c r="HTY192" s="17"/>
      <c r="HTZ192" s="17"/>
      <c r="HUA192" s="17"/>
      <c r="HUB192" s="17"/>
      <c r="HUC192" s="17"/>
      <c r="HUD192" s="17"/>
      <c r="HUE192" s="17"/>
      <c r="HUF192" s="17"/>
      <c r="HUG192" s="17"/>
      <c r="HUH192" s="17"/>
      <c r="HUI192" s="17"/>
      <c r="HUJ192" s="17"/>
      <c r="HUK192" s="17"/>
      <c r="HUL192" s="17"/>
      <c r="HUM192" s="17"/>
      <c r="HUN192" s="17"/>
      <c r="HUO192" s="17"/>
      <c r="HUP192" s="17"/>
      <c r="HUQ192" s="17"/>
      <c r="HUR192" s="17"/>
      <c r="HUS192" s="17"/>
      <c r="HUT192" s="17"/>
      <c r="HUU192" s="17"/>
      <c r="HUV192" s="17"/>
      <c r="HUW192" s="17"/>
      <c r="HUX192" s="17"/>
      <c r="HUY192" s="17"/>
      <c r="HUZ192" s="17"/>
      <c r="HVA192" s="17"/>
      <c r="HVB192" s="17"/>
      <c r="HVC192" s="17"/>
      <c r="HVD192" s="17"/>
      <c r="HVE192" s="17"/>
      <c r="HVF192" s="17"/>
      <c r="HVG192" s="17"/>
      <c r="HVH192" s="17"/>
      <c r="HVI192" s="17"/>
      <c r="HVJ192" s="17"/>
      <c r="HVK192" s="17"/>
      <c r="HVL192" s="17"/>
      <c r="HVM192" s="17"/>
      <c r="HVN192" s="17"/>
      <c r="HVO192" s="17"/>
      <c r="HVP192" s="17"/>
      <c r="HVQ192" s="17"/>
      <c r="HVR192" s="17"/>
      <c r="HVS192" s="17"/>
      <c r="HVT192" s="17"/>
      <c r="HVU192" s="17"/>
      <c r="HVV192" s="17"/>
      <c r="HVW192" s="17"/>
      <c r="HVX192" s="17"/>
      <c r="HVY192" s="17"/>
      <c r="HVZ192" s="17"/>
      <c r="HWA192" s="17"/>
      <c r="HWB192" s="17"/>
      <c r="HWC192" s="17"/>
      <c r="HWD192" s="17"/>
      <c r="HWE192" s="17"/>
      <c r="HWF192" s="17"/>
      <c r="HWG192" s="17"/>
      <c r="HWH192" s="17"/>
      <c r="HWI192" s="17"/>
      <c r="HWJ192" s="17"/>
      <c r="HWK192" s="17"/>
      <c r="HWL192" s="17"/>
      <c r="HWM192" s="17"/>
      <c r="HWN192" s="17"/>
      <c r="HWO192" s="17"/>
      <c r="HWP192" s="17"/>
      <c r="HWQ192" s="17"/>
      <c r="HWR192" s="17"/>
      <c r="HWS192" s="17"/>
      <c r="HWT192" s="17"/>
      <c r="HWU192" s="17"/>
      <c r="HWV192" s="17"/>
      <c r="HWW192" s="17"/>
      <c r="HWX192" s="17"/>
      <c r="HWY192" s="17"/>
      <c r="HWZ192" s="17"/>
      <c r="HXA192" s="17"/>
      <c r="HXB192" s="17"/>
      <c r="HXC192" s="17"/>
      <c r="HXD192" s="17"/>
      <c r="HXE192" s="17"/>
      <c r="HXF192" s="17"/>
      <c r="HXG192" s="17"/>
      <c r="HXH192" s="17"/>
      <c r="HXI192" s="17"/>
      <c r="HXJ192" s="17"/>
      <c r="HXK192" s="17"/>
      <c r="HXL192" s="17"/>
      <c r="HXM192" s="17"/>
      <c r="HXN192" s="17"/>
      <c r="HXO192" s="17"/>
      <c r="HXP192" s="17"/>
      <c r="HXQ192" s="17"/>
      <c r="HXR192" s="17"/>
      <c r="HXS192" s="17"/>
      <c r="HXT192" s="17"/>
      <c r="HXU192" s="17"/>
      <c r="HXV192" s="17"/>
      <c r="HXW192" s="17"/>
      <c r="HXX192" s="17"/>
      <c r="HXY192" s="17"/>
      <c r="HXZ192" s="17"/>
      <c r="HYA192" s="17"/>
      <c r="HYB192" s="17"/>
      <c r="HYC192" s="17"/>
      <c r="HYD192" s="17"/>
      <c r="HYE192" s="17"/>
      <c r="HYF192" s="17"/>
      <c r="HYG192" s="17"/>
      <c r="HYH192" s="17"/>
      <c r="HYI192" s="17"/>
      <c r="HYJ192" s="17"/>
      <c r="HYK192" s="17"/>
      <c r="HYL192" s="17"/>
      <c r="HYM192" s="17"/>
      <c r="HYN192" s="17"/>
      <c r="HYO192" s="17"/>
      <c r="HYP192" s="17"/>
      <c r="HYQ192" s="17"/>
      <c r="HYR192" s="17"/>
      <c r="HYS192" s="17"/>
      <c r="HYT192" s="17"/>
      <c r="HYU192" s="17"/>
      <c r="HYV192" s="17"/>
      <c r="HYW192" s="17"/>
      <c r="HYX192" s="17"/>
      <c r="HYY192" s="17"/>
      <c r="HYZ192" s="17"/>
      <c r="HZA192" s="17"/>
      <c r="HZB192" s="17"/>
      <c r="HZC192" s="17"/>
      <c r="HZD192" s="17"/>
      <c r="HZE192" s="17"/>
      <c r="HZF192" s="17"/>
      <c r="HZG192" s="17"/>
      <c r="HZH192" s="17"/>
      <c r="HZI192" s="17"/>
      <c r="HZJ192" s="17"/>
      <c r="HZK192" s="17"/>
      <c r="HZL192" s="17"/>
      <c r="HZM192" s="17"/>
      <c r="HZN192" s="17"/>
      <c r="HZO192" s="17"/>
      <c r="HZP192" s="17"/>
      <c r="HZQ192" s="17"/>
      <c r="HZR192" s="17"/>
      <c r="HZS192" s="17"/>
      <c r="HZT192" s="17"/>
      <c r="HZU192" s="17"/>
      <c r="HZV192" s="17"/>
      <c r="HZW192" s="17"/>
      <c r="HZX192" s="17"/>
      <c r="HZY192" s="17"/>
      <c r="HZZ192" s="17"/>
      <c r="IAA192" s="17"/>
      <c r="IAB192" s="17"/>
      <c r="IAC192" s="17"/>
      <c r="IAD192" s="17"/>
      <c r="IAE192" s="17"/>
      <c r="IAF192" s="17"/>
      <c r="IAG192" s="17"/>
      <c r="IAH192" s="17"/>
      <c r="IAI192" s="17"/>
      <c r="IAJ192" s="17"/>
      <c r="IAK192" s="17"/>
      <c r="IAL192" s="17"/>
      <c r="IAM192" s="17"/>
      <c r="IAN192" s="17"/>
      <c r="IAO192" s="17"/>
      <c r="IAP192" s="17"/>
      <c r="IAQ192" s="17"/>
      <c r="IAR192" s="17"/>
      <c r="IAS192" s="17"/>
      <c r="IAT192" s="17"/>
      <c r="IAU192" s="17"/>
      <c r="IAV192" s="17"/>
      <c r="IAW192" s="17"/>
      <c r="IAX192" s="17"/>
      <c r="IAY192" s="17"/>
      <c r="IAZ192" s="17"/>
      <c r="IBA192" s="17"/>
      <c r="IBB192" s="17"/>
      <c r="IBC192" s="17"/>
      <c r="IBD192" s="17"/>
      <c r="IBE192" s="17"/>
      <c r="IBF192" s="17"/>
      <c r="IBG192" s="17"/>
      <c r="IBH192" s="17"/>
      <c r="IBI192" s="17"/>
      <c r="IBJ192" s="17"/>
      <c r="IBK192" s="17"/>
      <c r="IBL192" s="17"/>
      <c r="IBM192" s="17"/>
      <c r="IBN192" s="17"/>
      <c r="IBO192" s="17"/>
      <c r="IBP192" s="17"/>
      <c r="IBQ192" s="17"/>
      <c r="IBR192" s="17"/>
      <c r="IBS192" s="17"/>
      <c r="IBT192" s="17"/>
      <c r="IBU192" s="17"/>
      <c r="IBV192" s="17"/>
      <c r="IBW192" s="17"/>
      <c r="IBX192" s="17"/>
      <c r="IBY192" s="17"/>
      <c r="IBZ192" s="17"/>
      <c r="ICA192" s="17"/>
      <c r="ICB192" s="17"/>
      <c r="ICC192" s="17"/>
      <c r="ICD192" s="17"/>
      <c r="ICE192" s="17"/>
      <c r="ICF192" s="17"/>
      <c r="ICG192" s="17"/>
      <c r="ICH192" s="17"/>
      <c r="ICI192" s="17"/>
      <c r="ICJ192" s="17"/>
      <c r="ICK192" s="17"/>
      <c r="ICL192" s="17"/>
      <c r="ICM192" s="17"/>
      <c r="ICN192" s="17"/>
      <c r="ICO192" s="17"/>
      <c r="ICP192" s="17"/>
      <c r="ICQ192" s="17"/>
      <c r="ICR192" s="17"/>
      <c r="ICS192" s="17"/>
      <c r="ICT192" s="17"/>
      <c r="ICU192" s="17"/>
      <c r="ICV192" s="17"/>
      <c r="ICW192" s="17"/>
      <c r="ICX192" s="17"/>
      <c r="ICY192" s="17"/>
      <c r="ICZ192" s="17"/>
      <c r="IDA192" s="17"/>
      <c r="IDB192" s="17"/>
      <c r="IDC192" s="17"/>
      <c r="IDD192" s="17"/>
      <c r="IDE192" s="17"/>
      <c r="IDF192" s="17"/>
      <c r="IDG192" s="17"/>
      <c r="IDH192" s="17"/>
      <c r="IDI192" s="17"/>
      <c r="IDJ192" s="17"/>
      <c r="IDK192" s="17"/>
      <c r="IDL192" s="17"/>
      <c r="IDM192" s="17"/>
      <c r="IDN192" s="17"/>
      <c r="IDO192" s="17"/>
      <c r="IDP192" s="17"/>
      <c r="IDQ192" s="17"/>
      <c r="IDR192" s="17"/>
      <c r="IDS192" s="17"/>
      <c r="IDT192" s="17"/>
      <c r="IDU192" s="17"/>
      <c r="IDV192" s="17"/>
      <c r="IDW192" s="17"/>
      <c r="IDX192" s="17"/>
      <c r="IDY192" s="17"/>
      <c r="IDZ192" s="17"/>
      <c r="IEA192" s="17"/>
      <c r="IEB192" s="17"/>
      <c r="IEC192" s="17"/>
      <c r="IED192" s="17"/>
      <c r="IEE192" s="17"/>
      <c r="IEF192" s="17"/>
      <c r="IEG192" s="17"/>
      <c r="IEH192" s="17"/>
      <c r="IEI192" s="17"/>
      <c r="IEJ192" s="17"/>
      <c r="IEK192" s="17"/>
      <c r="IEL192" s="17"/>
      <c r="IEM192" s="17"/>
      <c r="IEN192" s="17"/>
      <c r="IEO192" s="17"/>
      <c r="IEP192" s="17"/>
      <c r="IEQ192" s="17"/>
      <c r="IER192" s="17"/>
      <c r="IES192" s="17"/>
      <c r="IET192" s="17"/>
      <c r="IEU192" s="17"/>
      <c r="IEV192" s="17"/>
      <c r="IEW192" s="17"/>
      <c r="IEX192" s="17"/>
      <c r="IEY192" s="17"/>
      <c r="IEZ192" s="17"/>
      <c r="IFA192" s="17"/>
      <c r="IFB192" s="17"/>
      <c r="IFC192" s="17"/>
      <c r="IFD192" s="17"/>
      <c r="IFE192" s="17"/>
      <c r="IFF192" s="17"/>
      <c r="IFG192" s="17"/>
      <c r="IFH192" s="17"/>
      <c r="IFI192" s="17"/>
      <c r="IFJ192" s="17"/>
      <c r="IFK192" s="17"/>
      <c r="IFL192" s="17"/>
      <c r="IFM192" s="17"/>
      <c r="IFN192" s="17"/>
      <c r="IFO192" s="17"/>
      <c r="IFP192" s="17"/>
      <c r="IFQ192" s="17"/>
      <c r="IFR192" s="17"/>
      <c r="IFS192" s="17"/>
      <c r="IFT192" s="17"/>
      <c r="IFU192" s="17"/>
      <c r="IFV192" s="17"/>
      <c r="IFW192" s="17"/>
      <c r="IFX192" s="17"/>
      <c r="IFY192" s="17"/>
      <c r="IFZ192" s="17"/>
      <c r="IGA192" s="17"/>
      <c r="IGB192" s="17"/>
      <c r="IGC192" s="17"/>
      <c r="IGD192" s="17"/>
      <c r="IGE192" s="17"/>
      <c r="IGF192" s="17"/>
      <c r="IGG192" s="17"/>
      <c r="IGH192" s="17"/>
      <c r="IGI192" s="17"/>
      <c r="IGJ192" s="17"/>
      <c r="IGK192" s="17"/>
      <c r="IGL192" s="17"/>
      <c r="IGM192" s="17"/>
      <c r="IGN192" s="17"/>
      <c r="IGO192" s="17"/>
      <c r="IGP192" s="17"/>
      <c r="IGQ192" s="17"/>
      <c r="IGR192" s="17"/>
      <c r="IGS192" s="17"/>
      <c r="IGT192" s="17"/>
      <c r="IGU192" s="17"/>
      <c r="IGV192" s="17"/>
      <c r="IGW192" s="17"/>
      <c r="IGX192" s="17"/>
      <c r="IGY192" s="17"/>
      <c r="IGZ192" s="17"/>
      <c r="IHA192" s="17"/>
      <c r="IHB192" s="17"/>
      <c r="IHC192" s="17"/>
      <c r="IHD192" s="17"/>
      <c r="IHE192" s="17"/>
      <c r="IHF192" s="17"/>
      <c r="IHG192" s="17"/>
      <c r="IHH192" s="17"/>
      <c r="IHI192" s="17"/>
      <c r="IHJ192" s="17"/>
      <c r="IHK192" s="17"/>
      <c r="IHL192" s="17"/>
      <c r="IHM192" s="17"/>
      <c r="IHN192" s="17"/>
      <c r="IHO192" s="17"/>
      <c r="IHP192" s="17"/>
      <c r="IHQ192" s="17"/>
      <c r="IHR192" s="17"/>
      <c r="IHS192" s="17"/>
      <c r="IHT192" s="17"/>
      <c r="IHU192" s="17"/>
      <c r="IHV192" s="17"/>
      <c r="IHW192" s="17"/>
      <c r="IHX192" s="17"/>
      <c r="IHY192" s="17"/>
      <c r="IHZ192" s="17"/>
      <c r="IIA192" s="17"/>
      <c r="IIB192" s="17"/>
      <c r="IIC192" s="17"/>
      <c r="IID192" s="17"/>
      <c r="IIE192" s="17"/>
      <c r="IIF192" s="17"/>
      <c r="IIG192" s="17"/>
      <c r="IIH192" s="17"/>
      <c r="III192" s="17"/>
      <c r="IIJ192" s="17"/>
      <c r="IIK192" s="17"/>
      <c r="IIL192" s="17"/>
      <c r="IIM192" s="17"/>
      <c r="IIN192" s="17"/>
      <c r="IIO192" s="17"/>
      <c r="IIP192" s="17"/>
      <c r="IIQ192" s="17"/>
      <c r="IIR192" s="17"/>
      <c r="IIS192" s="17"/>
      <c r="IIT192" s="17"/>
      <c r="IIU192" s="17"/>
      <c r="IIV192" s="17"/>
      <c r="IIW192" s="17"/>
      <c r="IIX192" s="17"/>
      <c r="IIY192" s="17"/>
      <c r="IIZ192" s="17"/>
      <c r="IJA192" s="17"/>
      <c r="IJB192" s="17"/>
      <c r="IJC192" s="17"/>
      <c r="IJD192" s="17"/>
      <c r="IJE192" s="17"/>
      <c r="IJF192" s="17"/>
      <c r="IJG192" s="17"/>
      <c r="IJH192" s="17"/>
      <c r="IJI192" s="17"/>
      <c r="IJJ192" s="17"/>
      <c r="IJK192" s="17"/>
      <c r="IJL192" s="17"/>
      <c r="IJM192" s="17"/>
      <c r="IJN192" s="17"/>
      <c r="IJO192" s="17"/>
      <c r="IJP192" s="17"/>
      <c r="IJQ192" s="17"/>
      <c r="IJR192" s="17"/>
      <c r="IJS192" s="17"/>
      <c r="IJT192" s="17"/>
      <c r="IJU192" s="17"/>
      <c r="IJV192" s="17"/>
      <c r="IJW192" s="17"/>
      <c r="IJX192" s="17"/>
      <c r="IJY192" s="17"/>
      <c r="IJZ192" s="17"/>
      <c r="IKA192" s="17"/>
      <c r="IKB192" s="17"/>
      <c r="IKC192" s="17"/>
      <c r="IKD192" s="17"/>
      <c r="IKE192" s="17"/>
      <c r="IKF192" s="17"/>
      <c r="IKG192" s="17"/>
      <c r="IKH192" s="17"/>
      <c r="IKI192" s="17"/>
      <c r="IKJ192" s="17"/>
      <c r="IKK192" s="17"/>
      <c r="IKL192" s="17"/>
      <c r="IKM192" s="17"/>
      <c r="IKN192" s="17"/>
      <c r="IKO192" s="17"/>
      <c r="IKP192" s="17"/>
      <c r="IKQ192" s="17"/>
      <c r="IKR192" s="17"/>
      <c r="IKS192" s="17"/>
      <c r="IKT192" s="17"/>
      <c r="IKU192" s="17"/>
      <c r="IKV192" s="17"/>
      <c r="IKW192" s="17"/>
      <c r="IKX192" s="17"/>
      <c r="IKY192" s="17"/>
      <c r="IKZ192" s="17"/>
      <c r="ILA192" s="17"/>
      <c r="ILB192" s="17"/>
      <c r="ILC192" s="17"/>
      <c r="ILD192" s="17"/>
      <c r="ILE192" s="17"/>
      <c r="ILF192" s="17"/>
      <c r="ILG192" s="17"/>
      <c r="ILH192" s="17"/>
      <c r="ILI192" s="17"/>
      <c r="ILJ192" s="17"/>
      <c r="ILK192" s="17"/>
      <c r="ILL192" s="17"/>
      <c r="ILM192" s="17"/>
      <c r="ILN192" s="17"/>
      <c r="ILO192" s="17"/>
      <c r="ILP192" s="17"/>
      <c r="ILQ192" s="17"/>
      <c r="ILR192" s="17"/>
      <c r="ILS192" s="17"/>
      <c r="ILT192" s="17"/>
      <c r="ILU192" s="17"/>
      <c r="ILV192" s="17"/>
      <c r="ILW192" s="17"/>
      <c r="ILX192" s="17"/>
      <c r="ILY192" s="17"/>
      <c r="ILZ192" s="17"/>
      <c r="IMA192" s="17"/>
      <c r="IMB192" s="17"/>
      <c r="IMC192" s="17"/>
      <c r="IMD192" s="17"/>
      <c r="IME192" s="17"/>
      <c r="IMF192" s="17"/>
      <c r="IMG192" s="17"/>
      <c r="IMH192" s="17"/>
      <c r="IMI192" s="17"/>
      <c r="IMJ192" s="17"/>
      <c r="IMK192" s="17"/>
      <c r="IML192" s="17"/>
      <c r="IMM192" s="17"/>
      <c r="IMN192" s="17"/>
      <c r="IMO192" s="17"/>
      <c r="IMP192" s="17"/>
      <c r="IMQ192" s="17"/>
      <c r="IMR192" s="17"/>
      <c r="IMS192" s="17"/>
      <c r="IMT192" s="17"/>
      <c r="IMU192" s="17"/>
      <c r="IMV192" s="17"/>
      <c r="IMW192" s="17"/>
      <c r="IMX192" s="17"/>
      <c r="IMY192" s="17"/>
      <c r="IMZ192" s="17"/>
      <c r="INA192" s="17"/>
      <c r="INB192" s="17"/>
      <c r="INC192" s="17"/>
      <c r="IND192" s="17"/>
      <c r="INE192" s="17"/>
      <c r="INF192" s="17"/>
      <c r="ING192" s="17"/>
      <c r="INH192" s="17"/>
      <c r="INI192" s="17"/>
      <c r="INJ192" s="17"/>
      <c r="INK192" s="17"/>
      <c r="INL192" s="17"/>
      <c r="INM192" s="17"/>
      <c r="INN192" s="17"/>
      <c r="INO192" s="17"/>
      <c r="INP192" s="17"/>
      <c r="INQ192" s="17"/>
      <c r="INR192" s="17"/>
      <c r="INS192" s="17"/>
      <c r="INT192" s="17"/>
      <c r="INU192" s="17"/>
      <c r="INV192" s="17"/>
      <c r="INW192" s="17"/>
      <c r="INX192" s="17"/>
      <c r="INY192" s="17"/>
      <c r="INZ192" s="17"/>
      <c r="IOA192" s="17"/>
      <c r="IOB192" s="17"/>
      <c r="IOC192" s="17"/>
      <c r="IOD192" s="17"/>
      <c r="IOE192" s="17"/>
      <c r="IOF192" s="17"/>
      <c r="IOG192" s="17"/>
      <c r="IOH192" s="17"/>
      <c r="IOI192" s="17"/>
      <c r="IOJ192" s="17"/>
      <c r="IOK192" s="17"/>
      <c r="IOL192" s="17"/>
      <c r="IOM192" s="17"/>
      <c r="ION192" s="17"/>
      <c r="IOO192" s="17"/>
      <c r="IOP192" s="17"/>
      <c r="IOQ192" s="17"/>
      <c r="IOR192" s="17"/>
      <c r="IOS192" s="17"/>
      <c r="IOT192" s="17"/>
      <c r="IOU192" s="17"/>
      <c r="IOV192" s="17"/>
      <c r="IOW192" s="17"/>
      <c r="IOX192" s="17"/>
      <c r="IOY192" s="17"/>
      <c r="IOZ192" s="17"/>
      <c r="IPA192" s="17"/>
      <c r="IPB192" s="17"/>
      <c r="IPC192" s="17"/>
      <c r="IPD192" s="17"/>
      <c r="IPE192" s="17"/>
      <c r="IPF192" s="17"/>
      <c r="IPG192" s="17"/>
      <c r="IPH192" s="17"/>
      <c r="IPI192" s="17"/>
      <c r="IPJ192" s="17"/>
      <c r="IPK192" s="17"/>
      <c r="IPL192" s="17"/>
      <c r="IPM192" s="17"/>
      <c r="IPN192" s="17"/>
      <c r="IPO192" s="17"/>
      <c r="IPP192" s="17"/>
      <c r="IPQ192" s="17"/>
      <c r="IPR192" s="17"/>
      <c r="IPS192" s="17"/>
      <c r="IPT192" s="17"/>
      <c r="IPU192" s="17"/>
      <c r="IPV192" s="17"/>
      <c r="IPW192" s="17"/>
      <c r="IPX192" s="17"/>
      <c r="IPY192" s="17"/>
      <c r="IPZ192" s="17"/>
      <c r="IQA192" s="17"/>
      <c r="IQB192" s="17"/>
      <c r="IQC192" s="17"/>
      <c r="IQD192" s="17"/>
      <c r="IQE192" s="17"/>
      <c r="IQF192" s="17"/>
      <c r="IQG192" s="17"/>
      <c r="IQH192" s="17"/>
      <c r="IQI192" s="17"/>
      <c r="IQJ192" s="17"/>
      <c r="IQK192" s="17"/>
      <c r="IQL192" s="17"/>
      <c r="IQM192" s="17"/>
      <c r="IQN192" s="17"/>
      <c r="IQO192" s="17"/>
      <c r="IQP192" s="17"/>
      <c r="IQQ192" s="17"/>
      <c r="IQR192" s="17"/>
      <c r="IQS192" s="17"/>
      <c r="IQT192" s="17"/>
      <c r="IQU192" s="17"/>
      <c r="IQV192" s="17"/>
      <c r="IQW192" s="17"/>
      <c r="IQX192" s="17"/>
      <c r="IQY192" s="17"/>
      <c r="IQZ192" s="17"/>
      <c r="IRA192" s="17"/>
      <c r="IRB192" s="17"/>
      <c r="IRC192" s="17"/>
      <c r="IRD192" s="17"/>
      <c r="IRE192" s="17"/>
      <c r="IRF192" s="17"/>
      <c r="IRG192" s="17"/>
      <c r="IRH192" s="17"/>
      <c r="IRI192" s="17"/>
      <c r="IRJ192" s="17"/>
      <c r="IRK192" s="17"/>
      <c r="IRL192" s="17"/>
      <c r="IRM192" s="17"/>
      <c r="IRN192" s="17"/>
      <c r="IRO192" s="17"/>
      <c r="IRP192" s="17"/>
      <c r="IRQ192" s="17"/>
      <c r="IRR192" s="17"/>
      <c r="IRS192" s="17"/>
      <c r="IRT192" s="17"/>
      <c r="IRU192" s="17"/>
      <c r="IRV192" s="17"/>
      <c r="IRW192" s="17"/>
      <c r="IRX192" s="17"/>
      <c r="IRY192" s="17"/>
      <c r="IRZ192" s="17"/>
      <c r="ISA192" s="17"/>
      <c r="ISB192" s="17"/>
      <c r="ISC192" s="17"/>
      <c r="ISD192" s="17"/>
      <c r="ISE192" s="17"/>
      <c r="ISF192" s="17"/>
      <c r="ISG192" s="17"/>
      <c r="ISH192" s="17"/>
      <c r="ISI192" s="17"/>
      <c r="ISJ192" s="17"/>
      <c r="ISK192" s="17"/>
      <c r="ISL192" s="17"/>
      <c r="ISM192" s="17"/>
      <c r="ISN192" s="17"/>
      <c r="ISO192" s="17"/>
      <c r="ISP192" s="17"/>
      <c r="ISQ192" s="17"/>
      <c r="ISR192" s="17"/>
      <c r="ISS192" s="17"/>
      <c r="IST192" s="17"/>
      <c r="ISU192" s="17"/>
      <c r="ISV192" s="17"/>
      <c r="ISW192" s="17"/>
      <c r="ISX192" s="17"/>
      <c r="ISY192" s="17"/>
      <c r="ISZ192" s="17"/>
      <c r="ITA192" s="17"/>
      <c r="ITB192" s="17"/>
      <c r="ITC192" s="17"/>
      <c r="ITD192" s="17"/>
      <c r="ITE192" s="17"/>
      <c r="ITF192" s="17"/>
      <c r="ITG192" s="17"/>
      <c r="ITH192" s="17"/>
      <c r="ITI192" s="17"/>
      <c r="ITJ192" s="17"/>
      <c r="ITK192" s="17"/>
      <c r="ITL192" s="17"/>
      <c r="ITM192" s="17"/>
      <c r="ITN192" s="17"/>
      <c r="ITO192" s="17"/>
      <c r="ITP192" s="17"/>
      <c r="ITQ192" s="17"/>
      <c r="ITR192" s="17"/>
      <c r="ITS192" s="17"/>
      <c r="ITT192" s="17"/>
      <c r="ITU192" s="17"/>
      <c r="ITV192" s="17"/>
      <c r="ITW192" s="17"/>
      <c r="ITX192" s="17"/>
      <c r="ITY192" s="17"/>
      <c r="ITZ192" s="17"/>
      <c r="IUA192" s="17"/>
      <c r="IUB192" s="17"/>
      <c r="IUC192" s="17"/>
      <c r="IUD192" s="17"/>
      <c r="IUE192" s="17"/>
      <c r="IUF192" s="17"/>
      <c r="IUG192" s="17"/>
      <c r="IUH192" s="17"/>
      <c r="IUI192" s="17"/>
      <c r="IUJ192" s="17"/>
      <c r="IUK192" s="17"/>
      <c r="IUL192" s="17"/>
      <c r="IUM192" s="17"/>
      <c r="IUN192" s="17"/>
      <c r="IUO192" s="17"/>
      <c r="IUP192" s="17"/>
      <c r="IUQ192" s="17"/>
      <c r="IUR192" s="17"/>
      <c r="IUS192" s="17"/>
      <c r="IUT192" s="17"/>
      <c r="IUU192" s="17"/>
      <c r="IUV192" s="17"/>
      <c r="IUW192" s="17"/>
      <c r="IUX192" s="17"/>
      <c r="IUY192" s="17"/>
      <c r="IUZ192" s="17"/>
      <c r="IVA192" s="17"/>
      <c r="IVB192" s="17"/>
      <c r="IVC192" s="17"/>
      <c r="IVD192" s="17"/>
      <c r="IVE192" s="17"/>
      <c r="IVF192" s="17"/>
      <c r="IVG192" s="17"/>
      <c r="IVH192" s="17"/>
      <c r="IVI192" s="17"/>
      <c r="IVJ192" s="17"/>
      <c r="IVK192" s="17"/>
      <c r="IVL192" s="17"/>
      <c r="IVM192" s="17"/>
      <c r="IVN192" s="17"/>
      <c r="IVO192" s="17"/>
      <c r="IVP192" s="17"/>
      <c r="IVQ192" s="17"/>
      <c r="IVR192" s="17"/>
      <c r="IVS192" s="17"/>
      <c r="IVT192" s="17"/>
      <c r="IVU192" s="17"/>
      <c r="IVV192" s="17"/>
      <c r="IVW192" s="17"/>
      <c r="IVX192" s="17"/>
      <c r="IVY192" s="17"/>
      <c r="IVZ192" s="17"/>
      <c r="IWA192" s="17"/>
      <c r="IWB192" s="17"/>
      <c r="IWC192" s="17"/>
      <c r="IWD192" s="17"/>
      <c r="IWE192" s="17"/>
      <c r="IWF192" s="17"/>
      <c r="IWG192" s="17"/>
      <c r="IWH192" s="17"/>
      <c r="IWI192" s="17"/>
      <c r="IWJ192" s="17"/>
      <c r="IWK192" s="17"/>
      <c r="IWL192" s="17"/>
      <c r="IWM192" s="17"/>
      <c r="IWN192" s="17"/>
      <c r="IWO192" s="17"/>
      <c r="IWP192" s="17"/>
      <c r="IWQ192" s="17"/>
      <c r="IWR192" s="17"/>
      <c r="IWS192" s="17"/>
      <c r="IWT192" s="17"/>
      <c r="IWU192" s="17"/>
      <c r="IWV192" s="17"/>
      <c r="IWW192" s="17"/>
      <c r="IWX192" s="17"/>
      <c r="IWY192" s="17"/>
      <c r="IWZ192" s="17"/>
      <c r="IXA192" s="17"/>
      <c r="IXB192" s="17"/>
      <c r="IXC192" s="17"/>
      <c r="IXD192" s="17"/>
      <c r="IXE192" s="17"/>
      <c r="IXF192" s="17"/>
      <c r="IXG192" s="17"/>
      <c r="IXH192" s="17"/>
      <c r="IXI192" s="17"/>
      <c r="IXJ192" s="17"/>
      <c r="IXK192" s="17"/>
      <c r="IXL192" s="17"/>
      <c r="IXM192" s="17"/>
      <c r="IXN192" s="17"/>
      <c r="IXO192" s="17"/>
      <c r="IXP192" s="17"/>
      <c r="IXQ192" s="17"/>
      <c r="IXR192" s="17"/>
      <c r="IXS192" s="17"/>
      <c r="IXT192" s="17"/>
      <c r="IXU192" s="17"/>
      <c r="IXV192" s="17"/>
      <c r="IXW192" s="17"/>
      <c r="IXX192" s="17"/>
      <c r="IXY192" s="17"/>
      <c r="IXZ192" s="17"/>
      <c r="IYA192" s="17"/>
      <c r="IYB192" s="17"/>
      <c r="IYC192" s="17"/>
      <c r="IYD192" s="17"/>
      <c r="IYE192" s="17"/>
      <c r="IYF192" s="17"/>
      <c r="IYG192" s="17"/>
      <c r="IYH192" s="17"/>
      <c r="IYI192" s="17"/>
      <c r="IYJ192" s="17"/>
      <c r="IYK192" s="17"/>
      <c r="IYL192" s="17"/>
      <c r="IYM192" s="17"/>
      <c r="IYN192" s="17"/>
      <c r="IYO192" s="17"/>
      <c r="IYP192" s="17"/>
      <c r="IYQ192" s="17"/>
      <c r="IYR192" s="17"/>
      <c r="IYS192" s="17"/>
      <c r="IYT192" s="17"/>
      <c r="IYU192" s="17"/>
      <c r="IYV192" s="17"/>
      <c r="IYW192" s="17"/>
      <c r="IYX192" s="17"/>
      <c r="IYY192" s="17"/>
      <c r="IYZ192" s="17"/>
      <c r="IZA192" s="17"/>
      <c r="IZB192" s="17"/>
      <c r="IZC192" s="17"/>
      <c r="IZD192" s="17"/>
      <c r="IZE192" s="17"/>
      <c r="IZF192" s="17"/>
      <c r="IZG192" s="17"/>
      <c r="IZH192" s="17"/>
      <c r="IZI192" s="17"/>
      <c r="IZJ192" s="17"/>
      <c r="IZK192" s="17"/>
      <c r="IZL192" s="17"/>
      <c r="IZM192" s="17"/>
      <c r="IZN192" s="17"/>
      <c r="IZO192" s="17"/>
      <c r="IZP192" s="17"/>
      <c r="IZQ192" s="17"/>
      <c r="IZR192" s="17"/>
      <c r="IZS192" s="17"/>
      <c r="IZT192" s="17"/>
      <c r="IZU192" s="17"/>
      <c r="IZV192" s="17"/>
      <c r="IZW192" s="17"/>
      <c r="IZX192" s="17"/>
      <c r="IZY192" s="17"/>
      <c r="IZZ192" s="17"/>
      <c r="JAA192" s="17"/>
      <c r="JAB192" s="17"/>
      <c r="JAC192" s="17"/>
      <c r="JAD192" s="17"/>
      <c r="JAE192" s="17"/>
      <c r="JAF192" s="17"/>
      <c r="JAG192" s="17"/>
      <c r="JAH192" s="17"/>
      <c r="JAI192" s="17"/>
      <c r="JAJ192" s="17"/>
      <c r="JAK192" s="17"/>
      <c r="JAL192" s="17"/>
      <c r="JAM192" s="17"/>
      <c r="JAN192" s="17"/>
      <c r="JAO192" s="17"/>
      <c r="JAP192" s="17"/>
      <c r="JAQ192" s="17"/>
      <c r="JAR192" s="17"/>
      <c r="JAS192" s="17"/>
      <c r="JAT192" s="17"/>
      <c r="JAU192" s="17"/>
      <c r="JAV192" s="17"/>
      <c r="JAW192" s="17"/>
      <c r="JAX192" s="17"/>
      <c r="JAY192" s="17"/>
      <c r="JAZ192" s="17"/>
      <c r="JBA192" s="17"/>
      <c r="JBB192" s="17"/>
      <c r="JBC192" s="17"/>
      <c r="JBD192" s="17"/>
      <c r="JBE192" s="17"/>
      <c r="JBF192" s="17"/>
      <c r="JBG192" s="17"/>
      <c r="JBH192" s="17"/>
      <c r="JBI192" s="17"/>
      <c r="JBJ192" s="17"/>
      <c r="JBK192" s="17"/>
      <c r="JBL192" s="17"/>
      <c r="JBM192" s="17"/>
      <c r="JBN192" s="17"/>
      <c r="JBO192" s="17"/>
      <c r="JBP192" s="17"/>
      <c r="JBQ192" s="17"/>
      <c r="JBR192" s="17"/>
      <c r="JBS192" s="17"/>
      <c r="JBT192" s="17"/>
      <c r="JBU192" s="17"/>
      <c r="JBV192" s="17"/>
      <c r="JBW192" s="17"/>
      <c r="JBX192" s="17"/>
      <c r="JBY192" s="17"/>
      <c r="JBZ192" s="17"/>
      <c r="JCA192" s="17"/>
      <c r="JCB192" s="17"/>
      <c r="JCC192" s="17"/>
      <c r="JCD192" s="17"/>
      <c r="JCE192" s="17"/>
      <c r="JCF192" s="17"/>
      <c r="JCG192" s="17"/>
      <c r="JCH192" s="17"/>
      <c r="JCI192" s="17"/>
      <c r="JCJ192" s="17"/>
      <c r="JCK192" s="17"/>
      <c r="JCL192" s="17"/>
      <c r="JCM192" s="17"/>
      <c r="JCN192" s="17"/>
      <c r="JCO192" s="17"/>
      <c r="JCP192" s="17"/>
      <c r="JCQ192" s="17"/>
      <c r="JCR192" s="17"/>
      <c r="JCS192" s="17"/>
      <c r="JCT192" s="17"/>
      <c r="JCU192" s="17"/>
      <c r="JCV192" s="17"/>
      <c r="JCW192" s="17"/>
      <c r="JCX192" s="17"/>
      <c r="JCY192" s="17"/>
      <c r="JCZ192" s="17"/>
      <c r="JDA192" s="17"/>
      <c r="JDB192" s="17"/>
      <c r="JDC192" s="17"/>
      <c r="JDD192" s="17"/>
      <c r="JDE192" s="17"/>
      <c r="JDF192" s="17"/>
      <c r="JDG192" s="17"/>
      <c r="JDH192" s="17"/>
      <c r="JDI192" s="17"/>
      <c r="JDJ192" s="17"/>
      <c r="JDK192" s="17"/>
      <c r="JDL192" s="17"/>
      <c r="JDM192" s="17"/>
      <c r="JDN192" s="17"/>
      <c r="JDO192" s="17"/>
      <c r="JDP192" s="17"/>
      <c r="JDQ192" s="17"/>
      <c r="JDR192" s="17"/>
      <c r="JDS192" s="17"/>
      <c r="JDT192" s="17"/>
      <c r="JDU192" s="17"/>
      <c r="JDV192" s="17"/>
      <c r="JDW192" s="17"/>
      <c r="JDX192" s="17"/>
      <c r="JDY192" s="17"/>
      <c r="JDZ192" s="17"/>
      <c r="JEA192" s="17"/>
      <c r="JEB192" s="17"/>
      <c r="JEC192" s="17"/>
      <c r="JED192" s="17"/>
      <c r="JEE192" s="17"/>
      <c r="JEF192" s="17"/>
      <c r="JEG192" s="17"/>
      <c r="JEH192" s="17"/>
      <c r="JEI192" s="17"/>
      <c r="JEJ192" s="17"/>
      <c r="JEK192" s="17"/>
      <c r="JEL192" s="17"/>
      <c r="JEM192" s="17"/>
      <c r="JEN192" s="17"/>
      <c r="JEO192" s="17"/>
      <c r="JEP192" s="17"/>
      <c r="JEQ192" s="17"/>
      <c r="JER192" s="17"/>
      <c r="JES192" s="17"/>
      <c r="JET192" s="17"/>
      <c r="JEU192" s="17"/>
      <c r="JEV192" s="17"/>
      <c r="JEW192" s="17"/>
      <c r="JEX192" s="17"/>
      <c r="JEY192" s="17"/>
      <c r="JEZ192" s="17"/>
      <c r="JFA192" s="17"/>
      <c r="JFB192" s="17"/>
      <c r="JFC192" s="17"/>
      <c r="JFD192" s="17"/>
      <c r="JFE192" s="17"/>
      <c r="JFF192" s="17"/>
      <c r="JFG192" s="17"/>
      <c r="JFH192" s="17"/>
      <c r="JFI192" s="17"/>
      <c r="JFJ192" s="17"/>
      <c r="JFK192" s="17"/>
      <c r="JFL192" s="17"/>
      <c r="JFM192" s="17"/>
      <c r="JFN192" s="17"/>
      <c r="JFO192" s="17"/>
      <c r="JFP192" s="17"/>
      <c r="JFQ192" s="17"/>
      <c r="JFR192" s="17"/>
      <c r="JFS192" s="17"/>
      <c r="JFT192" s="17"/>
      <c r="JFU192" s="17"/>
      <c r="JFV192" s="17"/>
      <c r="JFW192" s="17"/>
      <c r="JFX192" s="17"/>
      <c r="JFY192" s="17"/>
      <c r="JFZ192" s="17"/>
      <c r="JGA192" s="17"/>
      <c r="JGB192" s="17"/>
      <c r="JGC192" s="17"/>
      <c r="JGD192" s="17"/>
      <c r="JGE192" s="17"/>
      <c r="JGF192" s="17"/>
      <c r="JGG192" s="17"/>
      <c r="JGH192" s="17"/>
      <c r="JGI192" s="17"/>
      <c r="JGJ192" s="17"/>
      <c r="JGK192" s="17"/>
      <c r="JGL192" s="17"/>
      <c r="JGM192" s="17"/>
      <c r="JGN192" s="17"/>
      <c r="JGO192" s="17"/>
      <c r="JGP192" s="17"/>
      <c r="JGQ192" s="17"/>
      <c r="JGR192" s="17"/>
      <c r="JGS192" s="17"/>
      <c r="JGT192" s="17"/>
      <c r="JGU192" s="17"/>
      <c r="JGV192" s="17"/>
      <c r="JGW192" s="17"/>
      <c r="JGX192" s="17"/>
      <c r="JGY192" s="17"/>
      <c r="JGZ192" s="17"/>
      <c r="JHA192" s="17"/>
      <c r="JHB192" s="17"/>
      <c r="JHC192" s="17"/>
      <c r="JHD192" s="17"/>
      <c r="JHE192" s="17"/>
      <c r="JHF192" s="17"/>
      <c r="JHG192" s="17"/>
      <c r="JHH192" s="17"/>
      <c r="JHI192" s="17"/>
      <c r="JHJ192" s="17"/>
      <c r="JHK192" s="17"/>
      <c r="JHL192" s="17"/>
      <c r="JHM192" s="17"/>
      <c r="JHN192" s="17"/>
      <c r="JHO192" s="17"/>
      <c r="JHP192" s="17"/>
      <c r="JHQ192" s="17"/>
      <c r="JHR192" s="17"/>
      <c r="JHS192" s="17"/>
      <c r="JHT192" s="17"/>
      <c r="JHU192" s="17"/>
      <c r="JHV192" s="17"/>
      <c r="JHW192" s="17"/>
      <c r="JHX192" s="17"/>
      <c r="JHY192" s="17"/>
      <c r="JHZ192" s="17"/>
      <c r="JIA192" s="17"/>
      <c r="JIB192" s="17"/>
      <c r="JIC192" s="17"/>
      <c r="JID192" s="17"/>
      <c r="JIE192" s="17"/>
      <c r="JIF192" s="17"/>
      <c r="JIG192" s="17"/>
      <c r="JIH192" s="17"/>
      <c r="JII192" s="17"/>
      <c r="JIJ192" s="17"/>
      <c r="JIK192" s="17"/>
      <c r="JIL192" s="17"/>
      <c r="JIM192" s="17"/>
      <c r="JIN192" s="17"/>
      <c r="JIO192" s="17"/>
      <c r="JIP192" s="17"/>
      <c r="JIQ192" s="17"/>
      <c r="JIR192" s="17"/>
      <c r="JIS192" s="17"/>
      <c r="JIT192" s="17"/>
      <c r="JIU192" s="17"/>
      <c r="JIV192" s="17"/>
      <c r="JIW192" s="17"/>
      <c r="JIX192" s="17"/>
      <c r="JIY192" s="17"/>
      <c r="JIZ192" s="17"/>
      <c r="JJA192" s="17"/>
      <c r="JJB192" s="17"/>
      <c r="JJC192" s="17"/>
      <c r="JJD192" s="17"/>
      <c r="JJE192" s="17"/>
      <c r="JJF192" s="17"/>
      <c r="JJG192" s="17"/>
      <c r="JJH192" s="17"/>
      <c r="JJI192" s="17"/>
      <c r="JJJ192" s="17"/>
      <c r="JJK192" s="17"/>
      <c r="JJL192" s="17"/>
      <c r="JJM192" s="17"/>
      <c r="JJN192" s="17"/>
      <c r="JJO192" s="17"/>
      <c r="JJP192" s="17"/>
      <c r="JJQ192" s="17"/>
      <c r="JJR192" s="17"/>
      <c r="JJS192" s="17"/>
      <c r="JJT192" s="17"/>
      <c r="JJU192" s="17"/>
      <c r="JJV192" s="17"/>
      <c r="JJW192" s="17"/>
      <c r="JJX192" s="17"/>
      <c r="JJY192" s="17"/>
      <c r="JJZ192" s="17"/>
      <c r="JKA192" s="17"/>
      <c r="JKB192" s="17"/>
      <c r="JKC192" s="17"/>
      <c r="JKD192" s="17"/>
      <c r="JKE192" s="17"/>
      <c r="JKF192" s="17"/>
      <c r="JKG192" s="17"/>
      <c r="JKH192" s="17"/>
      <c r="JKI192" s="17"/>
      <c r="JKJ192" s="17"/>
      <c r="JKK192" s="17"/>
      <c r="JKL192" s="17"/>
      <c r="JKM192" s="17"/>
      <c r="JKN192" s="17"/>
      <c r="JKO192" s="17"/>
      <c r="JKP192" s="17"/>
      <c r="JKQ192" s="17"/>
      <c r="JKR192" s="17"/>
      <c r="JKS192" s="17"/>
      <c r="JKT192" s="17"/>
      <c r="JKU192" s="17"/>
      <c r="JKV192" s="17"/>
      <c r="JKW192" s="17"/>
      <c r="JKX192" s="17"/>
      <c r="JKY192" s="17"/>
      <c r="JKZ192" s="17"/>
      <c r="JLA192" s="17"/>
      <c r="JLB192" s="17"/>
      <c r="JLC192" s="17"/>
      <c r="JLD192" s="17"/>
      <c r="JLE192" s="17"/>
      <c r="JLF192" s="17"/>
      <c r="JLG192" s="17"/>
      <c r="JLH192" s="17"/>
      <c r="JLI192" s="17"/>
      <c r="JLJ192" s="17"/>
      <c r="JLK192" s="17"/>
      <c r="JLL192" s="17"/>
      <c r="JLM192" s="17"/>
      <c r="JLN192" s="17"/>
      <c r="JLO192" s="17"/>
      <c r="JLP192" s="17"/>
      <c r="JLQ192" s="17"/>
      <c r="JLR192" s="17"/>
      <c r="JLS192" s="17"/>
      <c r="JLT192" s="17"/>
      <c r="JLU192" s="17"/>
      <c r="JLV192" s="17"/>
      <c r="JLW192" s="17"/>
      <c r="JLX192" s="17"/>
      <c r="JLY192" s="17"/>
      <c r="JLZ192" s="17"/>
      <c r="JMA192" s="17"/>
      <c r="JMB192" s="17"/>
      <c r="JMC192" s="17"/>
      <c r="JMD192" s="17"/>
      <c r="JME192" s="17"/>
      <c r="JMF192" s="17"/>
      <c r="JMG192" s="17"/>
      <c r="JMH192" s="17"/>
      <c r="JMI192" s="17"/>
      <c r="JMJ192" s="17"/>
      <c r="JMK192" s="17"/>
      <c r="JML192" s="17"/>
      <c r="JMM192" s="17"/>
      <c r="JMN192" s="17"/>
      <c r="JMO192" s="17"/>
      <c r="JMP192" s="17"/>
      <c r="JMQ192" s="17"/>
      <c r="JMR192" s="17"/>
      <c r="JMS192" s="17"/>
      <c r="JMT192" s="17"/>
      <c r="JMU192" s="17"/>
      <c r="JMV192" s="17"/>
      <c r="JMW192" s="17"/>
      <c r="JMX192" s="17"/>
      <c r="JMY192" s="17"/>
      <c r="JMZ192" s="17"/>
      <c r="JNA192" s="17"/>
      <c r="JNB192" s="17"/>
      <c r="JNC192" s="17"/>
      <c r="JND192" s="17"/>
      <c r="JNE192" s="17"/>
      <c r="JNF192" s="17"/>
      <c r="JNG192" s="17"/>
      <c r="JNH192" s="17"/>
      <c r="JNI192" s="17"/>
      <c r="JNJ192" s="17"/>
      <c r="JNK192" s="17"/>
      <c r="JNL192" s="17"/>
      <c r="JNM192" s="17"/>
      <c r="JNN192" s="17"/>
      <c r="JNO192" s="17"/>
      <c r="JNP192" s="17"/>
      <c r="JNQ192" s="17"/>
      <c r="JNR192" s="17"/>
      <c r="JNS192" s="17"/>
      <c r="JNT192" s="17"/>
      <c r="JNU192" s="17"/>
      <c r="JNV192" s="17"/>
      <c r="JNW192" s="17"/>
      <c r="JNX192" s="17"/>
      <c r="JNY192" s="17"/>
      <c r="JNZ192" s="17"/>
      <c r="JOA192" s="17"/>
      <c r="JOB192" s="17"/>
      <c r="JOC192" s="17"/>
      <c r="JOD192" s="17"/>
      <c r="JOE192" s="17"/>
      <c r="JOF192" s="17"/>
      <c r="JOG192" s="17"/>
      <c r="JOH192" s="17"/>
      <c r="JOI192" s="17"/>
      <c r="JOJ192" s="17"/>
      <c r="JOK192" s="17"/>
      <c r="JOL192" s="17"/>
      <c r="JOM192" s="17"/>
      <c r="JON192" s="17"/>
      <c r="JOO192" s="17"/>
      <c r="JOP192" s="17"/>
      <c r="JOQ192" s="17"/>
      <c r="JOR192" s="17"/>
      <c r="JOS192" s="17"/>
      <c r="JOT192" s="17"/>
      <c r="JOU192" s="17"/>
      <c r="JOV192" s="17"/>
      <c r="JOW192" s="17"/>
      <c r="JOX192" s="17"/>
      <c r="JOY192" s="17"/>
      <c r="JOZ192" s="17"/>
      <c r="JPA192" s="17"/>
      <c r="JPB192" s="17"/>
      <c r="JPC192" s="17"/>
      <c r="JPD192" s="17"/>
      <c r="JPE192" s="17"/>
      <c r="JPF192" s="17"/>
      <c r="JPG192" s="17"/>
      <c r="JPH192" s="17"/>
      <c r="JPI192" s="17"/>
      <c r="JPJ192" s="17"/>
      <c r="JPK192" s="17"/>
      <c r="JPL192" s="17"/>
      <c r="JPM192" s="17"/>
      <c r="JPN192" s="17"/>
      <c r="JPO192" s="17"/>
      <c r="JPP192" s="17"/>
      <c r="JPQ192" s="17"/>
      <c r="JPR192" s="17"/>
      <c r="JPS192" s="17"/>
      <c r="JPT192" s="17"/>
      <c r="JPU192" s="17"/>
      <c r="JPV192" s="17"/>
      <c r="JPW192" s="17"/>
      <c r="JPX192" s="17"/>
      <c r="JPY192" s="17"/>
      <c r="JPZ192" s="17"/>
      <c r="JQA192" s="17"/>
      <c r="JQB192" s="17"/>
      <c r="JQC192" s="17"/>
      <c r="JQD192" s="17"/>
      <c r="JQE192" s="17"/>
      <c r="JQF192" s="17"/>
      <c r="JQG192" s="17"/>
      <c r="JQH192" s="17"/>
      <c r="JQI192" s="17"/>
      <c r="JQJ192" s="17"/>
      <c r="JQK192" s="17"/>
      <c r="JQL192" s="17"/>
      <c r="JQM192" s="17"/>
      <c r="JQN192" s="17"/>
      <c r="JQO192" s="17"/>
      <c r="JQP192" s="17"/>
      <c r="JQQ192" s="17"/>
      <c r="JQR192" s="17"/>
      <c r="JQS192" s="17"/>
      <c r="JQT192" s="17"/>
      <c r="JQU192" s="17"/>
      <c r="JQV192" s="17"/>
      <c r="JQW192" s="17"/>
      <c r="JQX192" s="17"/>
      <c r="JQY192" s="17"/>
      <c r="JQZ192" s="17"/>
      <c r="JRA192" s="17"/>
      <c r="JRB192" s="17"/>
      <c r="JRC192" s="17"/>
      <c r="JRD192" s="17"/>
      <c r="JRE192" s="17"/>
      <c r="JRF192" s="17"/>
      <c r="JRG192" s="17"/>
      <c r="JRH192" s="17"/>
      <c r="JRI192" s="17"/>
      <c r="JRJ192" s="17"/>
      <c r="JRK192" s="17"/>
      <c r="JRL192" s="17"/>
      <c r="JRM192" s="17"/>
      <c r="JRN192" s="17"/>
      <c r="JRO192" s="17"/>
      <c r="JRP192" s="17"/>
      <c r="JRQ192" s="17"/>
      <c r="JRR192" s="17"/>
      <c r="JRS192" s="17"/>
      <c r="JRT192" s="17"/>
      <c r="JRU192" s="17"/>
      <c r="JRV192" s="17"/>
      <c r="JRW192" s="17"/>
      <c r="JRX192" s="17"/>
      <c r="JRY192" s="17"/>
      <c r="JRZ192" s="17"/>
      <c r="JSA192" s="17"/>
      <c r="JSB192" s="17"/>
      <c r="JSC192" s="17"/>
      <c r="JSD192" s="17"/>
      <c r="JSE192" s="17"/>
      <c r="JSF192" s="17"/>
      <c r="JSG192" s="17"/>
      <c r="JSH192" s="17"/>
      <c r="JSI192" s="17"/>
      <c r="JSJ192" s="17"/>
      <c r="JSK192" s="17"/>
      <c r="JSL192" s="17"/>
      <c r="JSM192" s="17"/>
      <c r="JSN192" s="17"/>
      <c r="JSO192" s="17"/>
      <c r="JSP192" s="17"/>
      <c r="JSQ192" s="17"/>
      <c r="JSR192" s="17"/>
      <c r="JSS192" s="17"/>
      <c r="JST192" s="17"/>
      <c r="JSU192" s="17"/>
      <c r="JSV192" s="17"/>
      <c r="JSW192" s="17"/>
      <c r="JSX192" s="17"/>
      <c r="JSY192" s="17"/>
      <c r="JSZ192" s="17"/>
      <c r="JTA192" s="17"/>
      <c r="JTB192" s="17"/>
      <c r="JTC192" s="17"/>
      <c r="JTD192" s="17"/>
      <c r="JTE192" s="17"/>
      <c r="JTF192" s="17"/>
      <c r="JTG192" s="17"/>
      <c r="JTH192" s="17"/>
      <c r="JTI192" s="17"/>
      <c r="JTJ192" s="17"/>
      <c r="JTK192" s="17"/>
      <c r="JTL192" s="17"/>
      <c r="JTM192" s="17"/>
      <c r="JTN192" s="17"/>
      <c r="JTO192" s="17"/>
      <c r="JTP192" s="17"/>
      <c r="JTQ192" s="17"/>
      <c r="JTR192" s="17"/>
      <c r="JTS192" s="17"/>
      <c r="JTT192" s="17"/>
      <c r="JTU192" s="17"/>
      <c r="JTV192" s="17"/>
      <c r="JTW192" s="17"/>
      <c r="JTX192" s="17"/>
      <c r="JTY192" s="17"/>
      <c r="JTZ192" s="17"/>
      <c r="JUA192" s="17"/>
      <c r="JUB192" s="17"/>
      <c r="JUC192" s="17"/>
      <c r="JUD192" s="17"/>
      <c r="JUE192" s="17"/>
      <c r="JUF192" s="17"/>
      <c r="JUG192" s="17"/>
      <c r="JUH192" s="17"/>
      <c r="JUI192" s="17"/>
      <c r="JUJ192" s="17"/>
      <c r="JUK192" s="17"/>
      <c r="JUL192" s="17"/>
      <c r="JUM192" s="17"/>
      <c r="JUN192" s="17"/>
      <c r="JUO192" s="17"/>
      <c r="JUP192" s="17"/>
      <c r="JUQ192" s="17"/>
      <c r="JUR192" s="17"/>
      <c r="JUS192" s="17"/>
      <c r="JUT192" s="17"/>
      <c r="JUU192" s="17"/>
      <c r="JUV192" s="17"/>
      <c r="JUW192" s="17"/>
      <c r="JUX192" s="17"/>
      <c r="JUY192" s="17"/>
      <c r="JUZ192" s="17"/>
      <c r="JVA192" s="17"/>
      <c r="JVB192" s="17"/>
      <c r="JVC192" s="17"/>
      <c r="JVD192" s="17"/>
      <c r="JVE192" s="17"/>
      <c r="JVF192" s="17"/>
      <c r="JVG192" s="17"/>
      <c r="JVH192" s="17"/>
      <c r="JVI192" s="17"/>
      <c r="JVJ192" s="17"/>
      <c r="JVK192" s="17"/>
      <c r="JVL192" s="17"/>
      <c r="JVM192" s="17"/>
      <c r="JVN192" s="17"/>
      <c r="JVO192" s="17"/>
      <c r="JVP192" s="17"/>
      <c r="JVQ192" s="17"/>
      <c r="JVR192" s="17"/>
      <c r="JVS192" s="17"/>
      <c r="JVT192" s="17"/>
      <c r="JVU192" s="17"/>
      <c r="JVV192" s="17"/>
      <c r="JVW192" s="17"/>
      <c r="JVX192" s="17"/>
      <c r="JVY192" s="17"/>
      <c r="JVZ192" s="17"/>
      <c r="JWA192" s="17"/>
      <c r="JWB192" s="17"/>
      <c r="JWC192" s="17"/>
      <c r="JWD192" s="17"/>
      <c r="JWE192" s="17"/>
      <c r="JWF192" s="17"/>
      <c r="JWG192" s="17"/>
      <c r="JWH192" s="17"/>
      <c r="JWI192" s="17"/>
      <c r="JWJ192" s="17"/>
      <c r="JWK192" s="17"/>
      <c r="JWL192" s="17"/>
      <c r="JWM192" s="17"/>
      <c r="JWN192" s="17"/>
      <c r="JWO192" s="17"/>
      <c r="JWP192" s="17"/>
      <c r="JWQ192" s="17"/>
      <c r="JWR192" s="17"/>
      <c r="JWS192" s="17"/>
      <c r="JWT192" s="17"/>
      <c r="JWU192" s="17"/>
      <c r="JWV192" s="17"/>
      <c r="JWW192" s="17"/>
      <c r="JWX192" s="17"/>
      <c r="JWY192" s="17"/>
      <c r="JWZ192" s="17"/>
      <c r="JXA192" s="17"/>
      <c r="JXB192" s="17"/>
      <c r="JXC192" s="17"/>
      <c r="JXD192" s="17"/>
      <c r="JXE192" s="17"/>
      <c r="JXF192" s="17"/>
      <c r="JXG192" s="17"/>
      <c r="JXH192" s="17"/>
      <c r="JXI192" s="17"/>
      <c r="JXJ192" s="17"/>
      <c r="JXK192" s="17"/>
      <c r="JXL192" s="17"/>
      <c r="JXM192" s="17"/>
      <c r="JXN192" s="17"/>
      <c r="JXO192" s="17"/>
      <c r="JXP192" s="17"/>
      <c r="JXQ192" s="17"/>
      <c r="JXR192" s="17"/>
      <c r="JXS192" s="17"/>
      <c r="JXT192" s="17"/>
      <c r="JXU192" s="17"/>
      <c r="JXV192" s="17"/>
      <c r="JXW192" s="17"/>
      <c r="JXX192" s="17"/>
      <c r="JXY192" s="17"/>
      <c r="JXZ192" s="17"/>
      <c r="JYA192" s="17"/>
      <c r="JYB192" s="17"/>
      <c r="JYC192" s="17"/>
      <c r="JYD192" s="17"/>
      <c r="JYE192" s="17"/>
      <c r="JYF192" s="17"/>
      <c r="JYG192" s="17"/>
      <c r="JYH192" s="17"/>
      <c r="JYI192" s="17"/>
      <c r="JYJ192" s="17"/>
      <c r="JYK192" s="17"/>
      <c r="JYL192" s="17"/>
      <c r="JYM192" s="17"/>
      <c r="JYN192" s="17"/>
      <c r="JYO192" s="17"/>
      <c r="JYP192" s="17"/>
      <c r="JYQ192" s="17"/>
      <c r="JYR192" s="17"/>
      <c r="JYS192" s="17"/>
      <c r="JYT192" s="17"/>
      <c r="JYU192" s="17"/>
      <c r="JYV192" s="17"/>
      <c r="JYW192" s="17"/>
      <c r="JYX192" s="17"/>
      <c r="JYY192" s="17"/>
      <c r="JYZ192" s="17"/>
      <c r="JZA192" s="17"/>
      <c r="JZB192" s="17"/>
      <c r="JZC192" s="17"/>
      <c r="JZD192" s="17"/>
      <c r="JZE192" s="17"/>
      <c r="JZF192" s="17"/>
      <c r="JZG192" s="17"/>
      <c r="JZH192" s="17"/>
      <c r="JZI192" s="17"/>
      <c r="JZJ192" s="17"/>
      <c r="JZK192" s="17"/>
      <c r="JZL192" s="17"/>
      <c r="JZM192" s="17"/>
      <c r="JZN192" s="17"/>
      <c r="JZO192" s="17"/>
      <c r="JZP192" s="17"/>
      <c r="JZQ192" s="17"/>
      <c r="JZR192" s="17"/>
      <c r="JZS192" s="17"/>
      <c r="JZT192" s="17"/>
      <c r="JZU192" s="17"/>
      <c r="JZV192" s="17"/>
      <c r="JZW192" s="17"/>
      <c r="JZX192" s="17"/>
      <c r="JZY192" s="17"/>
      <c r="JZZ192" s="17"/>
      <c r="KAA192" s="17"/>
      <c r="KAB192" s="17"/>
      <c r="KAC192" s="17"/>
      <c r="KAD192" s="17"/>
      <c r="KAE192" s="17"/>
      <c r="KAF192" s="17"/>
      <c r="KAG192" s="17"/>
      <c r="KAH192" s="17"/>
      <c r="KAI192" s="17"/>
      <c r="KAJ192" s="17"/>
      <c r="KAK192" s="17"/>
      <c r="KAL192" s="17"/>
      <c r="KAM192" s="17"/>
      <c r="KAN192" s="17"/>
      <c r="KAO192" s="17"/>
      <c r="KAP192" s="17"/>
      <c r="KAQ192" s="17"/>
      <c r="KAR192" s="17"/>
      <c r="KAS192" s="17"/>
      <c r="KAT192" s="17"/>
      <c r="KAU192" s="17"/>
      <c r="KAV192" s="17"/>
      <c r="KAW192" s="17"/>
      <c r="KAX192" s="17"/>
      <c r="KAY192" s="17"/>
      <c r="KAZ192" s="17"/>
      <c r="KBA192" s="17"/>
      <c r="KBB192" s="17"/>
      <c r="KBC192" s="17"/>
      <c r="KBD192" s="17"/>
      <c r="KBE192" s="17"/>
      <c r="KBF192" s="17"/>
      <c r="KBG192" s="17"/>
      <c r="KBH192" s="17"/>
      <c r="KBI192" s="17"/>
      <c r="KBJ192" s="17"/>
      <c r="KBK192" s="17"/>
      <c r="KBL192" s="17"/>
      <c r="KBM192" s="17"/>
      <c r="KBN192" s="17"/>
      <c r="KBO192" s="17"/>
      <c r="KBP192" s="17"/>
      <c r="KBQ192" s="17"/>
      <c r="KBR192" s="17"/>
      <c r="KBS192" s="17"/>
      <c r="KBT192" s="17"/>
      <c r="KBU192" s="17"/>
      <c r="KBV192" s="17"/>
      <c r="KBW192" s="17"/>
      <c r="KBX192" s="17"/>
      <c r="KBY192" s="17"/>
      <c r="KBZ192" s="17"/>
      <c r="KCA192" s="17"/>
      <c r="KCB192" s="17"/>
      <c r="KCC192" s="17"/>
      <c r="KCD192" s="17"/>
      <c r="KCE192" s="17"/>
      <c r="KCF192" s="17"/>
      <c r="KCG192" s="17"/>
      <c r="KCH192" s="17"/>
      <c r="KCI192" s="17"/>
      <c r="KCJ192" s="17"/>
      <c r="KCK192" s="17"/>
      <c r="KCL192" s="17"/>
      <c r="KCM192" s="17"/>
      <c r="KCN192" s="17"/>
      <c r="KCO192" s="17"/>
      <c r="KCP192" s="17"/>
      <c r="KCQ192" s="17"/>
      <c r="KCR192" s="17"/>
      <c r="KCS192" s="17"/>
      <c r="KCT192" s="17"/>
      <c r="KCU192" s="17"/>
      <c r="KCV192" s="17"/>
      <c r="KCW192" s="17"/>
      <c r="KCX192" s="17"/>
      <c r="KCY192" s="17"/>
      <c r="KCZ192" s="17"/>
      <c r="KDA192" s="17"/>
      <c r="KDB192" s="17"/>
      <c r="KDC192" s="17"/>
      <c r="KDD192" s="17"/>
      <c r="KDE192" s="17"/>
      <c r="KDF192" s="17"/>
      <c r="KDG192" s="17"/>
      <c r="KDH192" s="17"/>
      <c r="KDI192" s="17"/>
      <c r="KDJ192" s="17"/>
      <c r="KDK192" s="17"/>
      <c r="KDL192" s="17"/>
      <c r="KDM192" s="17"/>
      <c r="KDN192" s="17"/>
      <c r="KDO192" s="17"/>
      <c r="KDP192" s="17"/>
      <c r="KDQ192" s="17"/>
      <c r="KDR192" s="17"/>
      <c r="KDS192" s="17"/>
      <c r="KDT192" s="17"/>
      <c r="KDU192" s="17"/>
      <c r="KDV192" s="17"/>
      <c r="KDW192" s="17"/>
      <c r="KDX192" s="17"/>
      <c r="KDY192" s="17"/>
      <c r="KDZ192" s="17"/>
      <c r="KEA192" s="17"/>
      <c r="KEB192" s="17"/>
      <c r="KEC192" s="17"/>
      <c r="KED192" s="17"/>
      <c r="KEE192" s="17"/>
      <c r="KEF192" s="17"/>
      <c r="KEG192" s="17"/>
      <c r="KEH192" s="17"/>
      <c r="KEI192" s="17"/>
      <c r="KEJ192" s="17"/>
      <c r="KEK192" s="17"/>
      <c r="KEL192" s="17"/>
      <c r="KEM192" s="17"/>
      <c r="KEN192" s="17"/>
      <c r="KEO192" s="17"/>
      <c r="KEP192" s="17"/>
      <c r="KEQ192" s="17"/>
      <c r="KER192" s="17"/>
      <c r="KES192" s="17"/>
      <c r="KET192" s="17"/>
      <c r="KEU192" s="17"/>
      <c r="KEV192" s="17"/>
      <c r="KEW192" s="17"/>
      <c r="KEX192" s="17"/>
      <c r="KEY192" s="17"/>
      <c r="KEZ192" s="17"/>
      <c r="KFA192" s="17"/>
      <c r="KFB192" s="17"/>
      <c r="KFC192" s="17"/>
      <c r="KFD192" s="17"/>
      <c r="KFE192" s="17"/>
      <c r="KFF192" s="17"/>
      <c r="KFG192" s="17"/>
      <c r="KFH192" s="17"/>
      <c r="KFI192" s="17"/>
      <c r="KFJ192" s="17"/>
      <c r="KFK192" s="17"/>
      <c r="KFL192" s="17"/>
      <c r="KFM192" s="17"/>
      <c r="KFN192" s="17"/>
      <c r="KFO192" s="17"/>
      <c r="KFP192" s="17"/>
      <c r="KFQ192" s="17"/>
      <c r="KFR192" s="17"/>
      <c r="KFS192" s="17"/>
      <c r="KFT192" s="17"/>
      <c r="KFU192" s="17"/>
      <c r="KFV192" s="17"/>
      <c r="KFW192" s="17"/>
      <c r="KFX192" s="17"/>
      <c r="KFY192" s="17"/>
      <c r="KFZ192" s="17"/>
      <c r="KGA192" s="17"/>
      <c r="KGB192" s="17"/>
      <c r="KGC192" s="17"/>
      <c r="KGD192" s="17"/>
      <c r="KGE192" s="17"/>
      <c r="KGF192" s="17"/>
      <c r="KGG192" s="17"/>
      <c r="KGH192" s="17"/>
      <c r="KGI192" s="17"/>
      <c r="KGJ192" s="17"/>
      <c r="KGK192" s="17"/>
      <c r="KGL192" s="17"/>
      <c r="KGM192" s="17"/>
      <c r="KGN192" s="17"/>
      <c r="KGO192" s="17"/>
      <c r="KGP192" s="17"/>
      <c r="KGQ192" s="17"/>
      <c r="KGR192" s="17"/>
      <c r="KGS192" s="17"/>
      <c r="KGT192" s="17"/>
      <c r="KGU192" s="17"/>
      <c r="KGV192" s="17"/>
      <c r="KGW192" s="17"/>
      <c r="KGX192" s="17"/>
      <c r="KGY192" s="17"/>
      <c r="KGZ192" s="17"/>
      <c r="KHA192" s="17"/>
      <c r="KHB192" s="17"/>
      <c r="KHC192" s="17"/>
      <c r="KHD192" s="17"/>
      <c r="KHE192" s="17"/>
      <c r="KHF192" s="17"/>
      <c r="KHG192" s="17"/>
      <c r="KHH192" s="17"/>
      <c r="KHI192" s="17"/>
      <c r="KHJ192" s="17"/>
      <c r="KHK192" s="17"/>
      <c r="KHL192" s="17"/>
      <c r="KHM192" s="17"/>
      <c r="KHN192" s="17"/>
      <c r="KHO192" s="17"/>
      <c r="KHP192" s="17"/>
      <c r="KHQ192" s="17"/>
      <c r="KHR192" s="17"/>
      <c r="KHS192" s="17"/>
      <c r="KHT192" s="17"/>
      <c r="KHU192" s="17"/>
      <c r="KHV192" s="17"/>
      <c r="KHW192" s="17"/>
      <c r="KHX192" s="17"/>
      <c r="KHY192" s="17"/>
      <c r="KHZ192" s="17"/>
      <c r="KIA192" s="17"/>
      <c r="KIB192" s="17"/>
      <c r="KIC192" s="17"/>
      <c r="KID192" s="17"/>
      <c r="KIE192" s="17"/>
      <c r="KIF192" s="17"/>
      <c r="KIG192" s="17"/>
      <c r="KIH192" s="17"/>
      <c r="KII192" s="17"/>
      <c r="KIJ192" s="17"/>
      <c r="KIK192" s="17"/>
      <c r="KIL192" s="17"/>
      <c r="KIM192" s="17"/>
      <c r="KIN192" s="17"/>
      <c r="KIO192" s="17"/>
      <c r="KIP192" s="17"/>
      <c r="KIQ192" s="17"/>
      <c r="KIR192" s="17"/>
      <c r="KIS192" s="17"/>
      <c r="KIT192" s="17"/>
      <c r="KIU192" s="17"/>
      <c r="KIV192" s="17"/>
      <c r="KIW192" s="17"/>
      <c r="KIX192" s="17"/>
      <c r="KIY192" s="17"/>
      <c r="KIZ192" s="17"/>
      <c r="KJA192" s="17"/>
      <c r="KJB192" s="17"/>
      <c r="KJC192" s="17"/>
      <c r="KJD192" s="17"/>
      <c r="KJE192" s="17"/>
      <c r="KJF192" s="17"/>
      <c r="KJG192" s="17"/>
      <c r="KJH192" s="17"/>
      <c r="KJI192" s="17"/>
      <c r="KJJ192" s="17"/>
      <c r="KJK192" s="17"/>
      <c r="KJL192" s="17"/>
      <c r="KJM192" s="17"/>
      <c r="KJN192" s="17"/>
      <c r="KJO192" s="17"/>
      <c r="KJP192" s="17"/>
      <c r="KJQ192" s="17"/>
      <c r="KJR192" s="17"/>
      <c r="KJS192" s="17"/>
      <c r="KJT192" s="17"/>
      <c r="KJU192" s="17"/>
      <c r="KJV192" s="17"/>
      <c r="KJW192" s="17"/>
      <c r="KJX192" s="17"/>
      <c r="KJY192" s="17"/>
      <c r="KJZ192" s="17"/>
      <c r="KKA192" s="17"/>
      <c r="KKB192" s="17"/>
      <c r="KKC192" s="17"/>
      <c r="KKD192" s="17"/>
      <c r="KKE192" s="17"/>
      <c r="KKF192" s="17"/>
      <c r="KKG192" s="17"/>
      <c r="KKH192" s="17"/>
      <c r="KKI192" s="17"/>
      <c r="KKJ192" s="17"/>
      <c r="KKK192" s="17"/>
      <c r="KKL192" s="17"/>
      <c r="KKM192" s="17"/>
      <c r="KKN192" s="17"/>
      <c r="KKO192" s="17"/>
      <c r="KKP192" s="17"/>
      <c r="KKQ192" s="17"/>
      <c r="KKR192" s="17"/>
      <c r="KKS192" s="17"/>
      <c r="KKT192" s="17"/>
      <c r="KKU192" s="17"/>
      <c r="KKV192" s="17"/>
      <c r="KKW192" s="17"/>
      <c r="KKX192" s="17"/>
      <c r="KKY192" s="17"/>
      <c r="KKZ192" s="17"/>
      <c r="KLA192" s="17"/>
      <c r="KLB192" s="17"/>
      <c r="KLC192" s="17"/>
      <c r="KLD192" s="17"/>
      <c r="KLE192" s="17"/>
      <c r="KLF192" s="17"/>
      <c r="KLG192" s="17"/>
      <c r="KLH192" s="17"/>
      <c r="KLI192" s="17"/>
      <c r="KLJ192" s="17"/>
      <c r="KLK192" s="17"/>
      <c r="KLL192" s="17"/>
      <c r="KLM192" s="17"/>
      <c r="KLN192" s="17"/>
      <c r="KLO192" s="17"/>
      <c r="KLP192" s="17"/>
      <c r="KLQ192" s="17"/>
      <c r="KLR192" s="17"/>
      <c r="KLS192" s="17"/>
      <c r="KLT192" s="17"/>
      <c r="KLU192" s="17"/>
      <c r="KLV192" s="17"/>
      <c r="KLW192" s="17"/>
      <c r="KLX192" s="17"/>
      <c r="KLY192" s="17"/>
      <c r="KLZ192" s="17"/>
      <c r="KMA192" s="17"/>
      <c r="KMB192" s="17"/>
      <c r="KMC192" s="17"/>
      <c r="KMD192" s="17"/>
      <c r="KME192" s="17"/>
      <c r="KMF192" s="17"/>
      <c r="KMG192" s="17"/>
      <c r="KMH192" s="17"/>
      <c r="KMI192" s="17"/>
      <c r="KMJ192" s="17"/>
      <c r="KMK192" s="17"/>
      <c r="KML192" s="17"/>
      <c r="KMM192" s="17"/>
      <c r="KMN192" s="17"/>
      <c r="KMO192" s="17"/>
      <c r="KMP192" s="17"/>
      <c r="KMQ192" s="17"/>
      <c r="KMR192" s="17"/>
      <c r="KMS192" s="17"/>
      <c r="KMT192" s="17"/>
      <c r="KMU192" s="17"/>
      <c r="KMV192" s="17"/>
      <c r="KMW192" s="17"/>
      <c r="KMX192" s="17"/>
      <c r="KMY192" s="17"/>
      <c r="KMZ192" s="17"/>
      <c r="KNA192" s="17"/>
      <c r="KNB192" s="17"/>
      <c r="KNC192" s="17"/>
      <c r="KND192" s="17"/>
      <c r="KNE192" s="17"/>
      <c r="KNF192" s="17"/>
      <c r="KNG192" s="17"/>
      <c r="KNH192" s="17"/>
      <c r="KNI192" s="17"/>
      <c r="KNJ192" s="17"/>
      <c r="KNK192" s="17"/>
      <c r="KNL192" s="17"/>
      <c r="KNM192" s="17"/>
      <c r="KNN192" s="17"/>
      <c r="KNO192" s="17"/>
      <c r="KNP192" s="17"/>
      <c r="KNQ192" s="17"/>
      <c r="KNR192" s="17"/>
      <c r="KNS192" s="17"/>
      <c r="KNT192" s="17"/>
      <c r="KNU192" s="17"/>
      <c r="KNV192" s="17"/>
      <c r="KNW192" s="17"/>
      <c r="KNX192" s="17"/>
      <c r="KNY192" s="17"/>
      <c r="KNZ192" s="17"/>
      <c r="KOA192" s="17"/>
      <c r="KOB192" s="17"/>
      <c r="KOC192" s="17"/>
      <c r="KOD192" s="17"/>
      <c r="KOE192" s="17"/>
      <c r="KOF192" s="17"/>
      <c r="KOG192" s="17"/>
      <c r="KOH192" s="17"/>
      <c r="KOI192" s="17"/>
      <c r="KOJ192" s="17"/>
      <c r="KOK192" s="17"/>
      <c r="KOL192" s="17"/>
      <c r="KOM192" s="17"/>
      <c r="KON192" s="17"/>
      <c r="KOO192" s="17"/>
      <c r="KOP192" s="17"/>
      <c r="KOQ192" s="17"/>
      <c r="KOR192" s="17"/>
      <c r="KOS192" s="17"/>
      <c r="KOT192" s="17"/>
      <c r="KOU192" s="17"/>
      <c r="KOV192" s="17"/>
      <c r="KOW192" s="17"/>
      <c r="KOX192" s="17"/>
      <c r="KOY192" s="17"/>
      <c r="KOZ192" s="17"/>
      <c r="KPA192" s="17"/>
      <c r="KPB192" s="17"/>
      <c r="KPC192" s="17"/>
      <c r="KPD192" s="17"/>
      <c r="KPE192" s="17"/>
      <c r="KPF192" s="17"/>
      <c r="KPG192" s="17"/>
      <c r="KPH192" s="17"/>
      <c r="KPI192" s="17"/>
      <c r="KPJ192" s="17"/>
      <c r="KPK192" s="17"/>
      <c r="KPL192" s="17"/>
      <c r="KPM192" s="17"/>
      <c r="KPN192" s="17"/>
      <c r="KPO192" s="17"/>
      <c r="KPP192" s="17"/>
      <c r="KPQ192" s="17"/>
      <c r="KPR192" s="17"/>
      <c r="KPS192" s="17"/>
      <c r="KPT192" s="17"/>
      <c r="KPU192" s="17"/>
      <c r="KPV192" s="17"/>
      <c r="KPW192" s="17"/>
      <c r="KPX192" s="17"/>
      <c r="KPY192" s="17"/>
      <c r="KPZ192" s="17"/>
      <c r="KQA192" s="17"/>
      <c r="KQB192" s="17"/>
      <c r="KQC192" s="17"/>
      <c r="KQD192" s="17"/>
      <c r="KQE192" s="17"/>
      <c r="KQF192" s="17"/>
      <c r="KQG192" s="17"/>
      <c r="KQH192" s="17"/>
      <c r="KQI192" s="17"/>
      <c r="KQJ192" s="17"/>
      <c r="KQK192" s="17"/>
      <c r="KQL192" s="17"/>
      <c r="KQM192" s="17"/>
      <c r="KQN192" s="17"/>
      <c r="KQO192" s="17"/>
      <c r="KQP192" s="17"/>
      <c r="KQQ192" s="17"/>
      <c r="KQR192" s="17"/>
      <c r="KQS192" s="17"/>
      <c r="KQT192" s="17"/>
      <c r="KQU192" s="17"/>
      <c r="KQV192" s="17"/>
      <c r="KQW192" s="17"/>
      <c r="KQX192" s="17"/>
      <c r="KQY192" s="17"/>
      <c r="KQZ192" s="17"/>
      <c r="KRA192" s="17"/>
      <c r="KRB192" s="17"/>
      <c r="KRC192" s="17"/>
      <c r="KRD192" s="17"/>
      <c r="KRE192" s="17"/>
      <c r="KRF192" s="17"/>
      <c r="KRG192" s="17"/>
      <c r="KRH192" s="17"/>
      <c r="KRI192" s="17"/>
      <c r="KRJ192" s="17"/>
      <c r="KRK192" s="17"/>
      <c r="KRL192" s="17"/>
      <c r="KRM192" s="17"/>
      <c r="KRN192" s="17"/>
      <c r="KRO192" s="17"/>
      <c r="KRP192" s="17"/>
      <c r="KRQ192" s="17"/>
      <c r="KRR192" s="17"/>
      <c r="KRS192" s="17"/>
      <c r="KRT192" s="17"/>
      <c r="KRU192" s="17"/>
      <c r="KRV192" s="17"/>
      <c r="KRW192" s="17"/>
      <c r="KRX192" s="17"/>
      <c r="KRY192" s="17"/>
      <c r="KRZ192" s="17"/>
      <c r="KSA192" s="17"/>
      <c r="KSB192" s="17"/>
      <c r="KSC192" s="17"/>
      <c r="KSD192" s="17"/>
      <c r="KSE192" s="17"/>
      <c r="KSF192" s="17"/>
      <c r="KSG192" s="17"/>
      <c r="KSH192" s="17"/>
      <c r="KSI192" s="17"/>
      <c r="KSJ192" s="17"/>
      <c r="KSK192" s="17"/>
      <c r="KSL192" s="17"/>
      <c r="KSM192" s="17"/>
      <c r="KSN192" s="17"/>
      <c r="KSO192" s="17"/>
      <c r="KSP192" s="17"/>
      <c r="KSQ192" s="17"/>
      <c r="KSR192" s="17"/>
      <c r="KSS192" s="17"/>
      <c r="KST192" s="17"/>
      <c r="KSU192" s="17"/>
      <c r="KSV192" s="17"/>
      <c r="KSW192" s="17"/>
      <c r="KSX192" s="17"/>
      <c r="KSY192" s="17"/>
      <c r="KSZ192" s="17"/>
      <c r="KTA192" s="17"/>
      <c r="KTB192" s="17"/>
      <c r="KTC192" s="17"/>
      <c r="KTD192" s="17"/>
      <c r="KTE192" s="17"/>
      <c r="KTF192" s="17"/>
      <c r="KTG192" s="17"/>
      <c r="KTH192" s="17"/>
      <c r="KTI192" s="17"/>
      <c r="KTJ192" s="17"/>
      <c r="KTK192" s="17"/>
      <c r="KTL192" s="17"/>
      <c r="KTM192" s="17"/>
      <c r="KTN192" s="17"/>
      <c r="KTO192" s="17"/>
      <c r="KTP192" s="17"/>
      <c r="KTQ192" s="17"/>
      <c r="KTR192" s="17"/>
      <c r="KTS192" s="17"/>
      <c r="KTT192" s="17"/>
      <c r="KTU192" s="17"/>
      <c r="KTV192" s="17"/>
      <c r="KTW192" s="17"/>
      <c r="KTX192" s="17"/>
      <c r="KTY192" s="17"/>
      <c r="KTZ192" s="17"/>
      <c r="KUA192" s="17"/>
      <c r="KUB192" s="17"/>
      <c r="KUC192" s="17"/>
      <c r="KUD192" s="17"/>
      <c r="KUE192" s="17"/>
      <c r="KUF192" s="17"/>
      <c r="KUG192" s="17"/>
      <c r="KUH192" s="17"/>
      <c r="KUI192" s="17"/>
      <c r="KUJ192" s="17"/>
      <c r="KUK192" s="17"/>
      <c r="KUL192" s="17"/>
      <c r="KUM192" s="17"/>
      <c r="KUN192" s="17"/>
      <c r="KUO192" s="17"/>
      <c r="KUP192" s="17"/>
      <c r="KUQ192" s="17"/>
      <c r="KUR192" s="17"/>
      <c r="KUS192" s="17"/>
      <c r="KUT192" s="17"/>
      <c r="KUU192" s="17"/>
      <c r="KUV192" s="17"/>
      <c r="KUW192" s="17"/>
      <c r="KUX192" s="17"/>
      <c r="KUY192" s="17"/>
      <c r="KUZ192" s="17"/>
      <c r="KVA192" s="17"/>
      <c r="KVB192" s="17"/>
      <c r="KVC192" s="17"/>
      <c r="KVD192" s="17"/>
      <c r="KVE192" s="17"/>
      <c r="KVF192" s="17"/>
      <c r="KVG192" s="17"/>
      <c r="KVH192" s="17"/>
      <c r="KVI192" s="17"/>
      <c r="KVJ192" s="17"/>
      <c r="KVK192" s="17"/>
      <c r="KVL192" s="17"/>
      <c r="KVM192" s="17"/>
      <c r="KVN192" s="17"/>
      <c r="KVO192" s="17"/>
      <c r="KVP192" s="17"/>
      <c r="KVQ192" s="17"/>
      <c r="KVR192" s="17"/>
      <c r="KVS192" s="17"/>
      <c r="KVT192" s="17"/>
      <c r="KVU192" s="17"/>
      <c r="KVV192" s="17"/>
      <c r="KVW192" s="17"/>
      <c r="KVX192" s="17"/>
      <c r="KVY192" s="17"/>
      <c r="KVZ192" s="17"/>
      <c r="KWA192" s="17"/>
      <c r="KWB192" s="17"/>
      <c r="KWC192" s="17"/>
      <c r="KWD192" s="17"/>
      <c r="KWE192" s="17"/>
      <c r="KWF192" s="17"/>
      <c r="KWG192" s="17"/>
      <c r="KWH192" s="17"/>
      <c r="KWI192" s="17"/>
      <c r="KWJ192" s="17"/>
      <c r="KWK192" s="17"/>
      <c r="KWL192" s="17"/>
      <c r="KWM192" s="17"/>
      <c r="KWN192" s="17"/>
      <c r="KWO192" s="17"/>
      <c r="KWP192" s="17"/>
      <c r="KWQ192" s="17"/>
      <c r="KWR192" s="17"/>
      <c r="KWS192" s="17"/>
      <c r="KWT192" s="17"/>
      <c r="KWU192" s="17"/>
      <c r="KWV192" s="17"/>
      <c r="KWW192" s="17"/>
      <c r="KWX192" s="17"/>
      <c r="KWY192" s="17"/>
      <c r="KWZ192" s="17"/>
      <c r="KXA192" s="17"/>
      <c r="KXB192" s="17"/>
      <c r="KXC192" s="17"/>
      <c r="KXD192" s="17"/>
      <c r="KXE192" s="17"/>
      <c r="KXF192" s="17"/>
      <c r="KXG192" s="17"/>
      <c r="KXH192" s="17"/>
      <c r="KXI192" s="17"/>
      <c r="KXJ192" s="17"/>
      <c r="KXK192" s="17"/>
      <c r="KXL192" s="17"/>
      <c r="KXM192" s="17"/>
      <c r="KXN192" s="17"/>
      <c r="KXO192" s="17"/>
      <c r="KXP192" s="17"/>
      <c r="KXQ192" s="17"/>
      <c r="KXR192" s="17"/>
      <c r="KXS192" s="17"/>
      <c r="KXT192" s="17"/>
      <c r="KXU192" s="17"/>
      <c r="KXV192" s="17"/>
      <c r="KXW192" s="17"/>
      <c r="KXX192" s="17"/>
      <c r="KXY192" s="17"/>
      <c r="KXZ192" s="17"/>
      <c r="KYA192" s="17"/>
      <c r="KYB192" s="17"/>
      <c r="KYC192" s="17"/>
      <c r="KYD192" s="17"/>
      <c r="KYE192" s="17"/>
      <c r="KYF192" s="17"/>
      <c r="KYG192" s="17"/>
      <c r="KYH192" s="17"/>
      <c r="KYI192" s="17"/>
      <c r="KYJ192" s="17"/>
      <c r="KYK192" s="17"/>
      <c r="KYL192" s="17"/>
      <c r="KYM192" s="17"/>
      <c r="KYN192" s="17"/>
      <c r="KYO192" s="17"/>
      <c r="KYP192" s="17"/>
      <c r="KYQ192" s="17"/>
      <c r="KYR192" s="17"/>
      <c r="KYS192" s="17"/>
      <c r="KYT192" s="17"/>
      <c r="KYU192" s="17"/>
      <c r="KYV192" s="17"/>
      <c r="KYW192" s="17"/>
      <c r="KYX192" s="17"/>
      <c r="KYY192" s="17"/>
      <c r="KYZ192" s="17"/>
      <c r="KZA192" s="17"/>
      <c r="KZB192" s="17"/>
      <c r="KZC192" s="17"/>
      <c r="KZD192" s="17"/>
      <c r="KZE192" s="17"/>
      <c r="KZF192" s="17"/>
      <c r="KZG192" s="17"/>
      <c r="KZH192" s="17"/>
      <c r="KZI192" s="17"/>
      <c r="KZJ192" s="17"/>
      <c r="KZK192" s="17"/>
      <c r="KZL192" s="17"/>
      <c r="KZM192" s="17"/>
      <c r="KZN192" s="17"/>
      <c r="KZO192" s="17"/>
      <c r="KZP192" s="17"/>
      <c r="KZQ192" s="17"/>
      <c r="KZR192" s="17"/>
      <c r="KZS192" s="17"/>
      <c r="KZT192" s="17"/>
      <c r="KZU192" s="17"/>
      <c r="KZV192" s="17"/>
      <c r="KZW192" s="17"/>
      <c r="KZX192" s="17"/>
      <c r="KZY192" s="17"/>
      <c r="KZZ192" s="17"/>
      <c r="LAA192" s="17"/>
      <c r="LAB192" s="17"/>
      <c r="LAC192" s="17"/>
      <c r="LAD192" s="17"/>
      <c r="LAE192" s="17"/>
      <c r="LAF192" s="17"/>
      <c r="LAG192" s="17"/>
      <c r="LAH192" s="17"/>
      <c r="LAI192" s="17"/>
      <c r="LAJ192" s="17"/>
      <c r="LAK192" s="17"/>
      <c r="LAL192" s="17"/>
      <c r="LAM192" s="17"/>
      <c r="LAN192" s="17"/>
      <c r="LAO192" s="17"/>
      <c r="LAP192" s="17"/>
      <c r="LAQ192" s="17"/>
      <c r="LAR192" s="17"/>
      <c r="LAS192" s="17"/>
      <c r="LAT192" s="17"/>
      <c r="LAU192" s="17"/>
      <c r="LAV192" s="17"/>
      <c r="LAW192" s="17"/>
      <c r="LAX192" s="17"/>
      <c r="LAY192" s="17"/>
      <c r="LAZ192" s="17"/>
      <c r="LBA192" s="17"/>
      <c r="LBB192" s="17"/>
      <c r="LBC192" s="17"/>
      <c r="LBD192" s="17"/>
      <c r="LBE192" s="17"/>
      <c r="LBF192" s="17"/>
      <c r="LBG192" s="17"/>
      <c r="LBH192" s="17"/>
      <c r="LBI192" s="17"/>
      <c r="LBJ192" s="17"/>
      <c r="LBK192" s="17"/>
      <c r="LBL192" s="17"/>
      <c r="LBM192" s="17"/>
      <c r="LBN192" s="17"/>
      <c r="LBO192" s="17"/>
      <c r="LBP192" s="17"/>
      <c r="LBQ192" s="17"/>
      <c r="LBR192" s="17"/>
      <c r="LBS192" s="17"/>
      <c r="LBT192" s="17"/>
      <c r="LBU192" s="17"/>
      <c r="LBV192" s="17"/>
      <c r="LBW192" s="17"/>
      <c r="LBX192" s="17"/>
      <c r="LBY192" s="17"/>
      <c r="LBZ192" s="17"/>
      <c r="LCA192" s="17"/>
      <c r="LCB192" s="17"/>
      <c r="LCC192" s="17"/>
      <c r="LCD192" s="17"/>
      <c r="LCE192" s="17"/>
      <c r="LCF192" s="17"/>
      <c r="LCG192" s="17"/>
      <c r="LCH192" s="17"/>
      <c r="LCI192" s="17"/>
      <c r="LCJ192" s="17"/>
      <c r="LCK192" s="17"/>
      <c r="LCL192" s="17"/>
      <c r="LCM192" s="17"/>
      <c r="LCN192" s="17"/>
      <c r="LCO192" s="17"/>
      <c r="LCP192" s="17"/>
      <c r="LCQ192" s="17"/>
      <c r="LCR192" s="17"/>
      <c r="LCS192" s="17"/>
      <c r="LCT192" s="17"/>
      <c r="LCU192" s="17"/>
      <c r="LCV192" s="17"/>
      <c r="LCW192" s="17"/>
      <c r="LCX192" s="17"/>
      <c r="LCY192" s="17"/>
      <c r="LCZ192" s="17"/>
      <c r="LDA192" s="17"/>
      <c r="LDB192" s="17"/>
      <c r="LDC192" s="17"/>
      <c r="LDD192" s="17"/>
      <c r="LDE192" s="17"/>
      <c r="LDF192" s="17"/>
      <c r="LDG192" s="17"/>
      <c r="LDH192" s="17"/>
      <c r="LDI192" s="17"/>
      <c r="LDJ192" s="17"/>
      <c r="LDK192" s="17"/>
      <c r="LDL192" s="17"/>
      <c r="LDM192" s="17"/>
      <c r="LDN192" s="17"/>
      <c r="LDO192" s="17"/>
      <c r="LDP192" s="17"/>
      <c r="LDQ192" s="17"/>
      <c r="LDR192" s="17"/>
      <c r="LDS192" s="17"/>
      <c r="LDT192" s="17"/>
      <c r="LDU192" s="17"/>
      <c r="LDV192" s="17"/>
      <c r="LDW192" s="17"/>
      <c r="LDX192" s="17"/>
      <c r="LDY192" s="17"/>
      <c r="LDZ192" s="17"/>
      <c r="LEA192" s="17"/>
      <c r="LEB192" s="17"/>
      <c r="LEC192" s="17"/>
      <c r="LED192" s="17"/>
      <c r="LEE192" s="17"/>
      <c r="LEF192" s="17"/>
      <c r="LEG192" s="17"/>
      <c r="LEH192" s="17"/>
      <c r="LEI192" s="17"/>
      <c r="LEJ192" s="17"/>
      <c r="LEK192" s="17"/>
      <c r="LEL192" s="17"/>
      <c r="LEM192" s="17"/>
      <c r="LEN192" s="17"/>
      <c r="LEO192" s="17"/>
      <c r="LEP192" s="17"/>
      <c r="LEQ192" s="17"/>
      <c r="LER192" s="17"/>
      <c r="LES192" s="17"/>
      <c r="LET192" s="17"/>
      <c r="LEU192" s="17"/>
      <c r="LEV192" s="17"/>
      <c r="LEW192" s="17"/>
      <c r="LEX192" s="17"/>
      <c r="LEY192" s="17"/>
      <c r="LEZ192" s="17"/>
      <c r="LFA192" s="17"/>
      <c r="LFB192" s="17"/>
      <c r="LFC192" s="17"/>
      <c r="LFD192" s="17"/>
      <c r="LFE192" s="17"/>
      <c r="LFF192" s="17"/>
      <c r="LFG192" s="17"/>
      <c r="LFH192" s="17"/>
      <c r="LFI192" s="17"/>
      <c r="LFJ192" s="17"/>
      <c r="LFK192" s="17"/>
      <c r="LFL192" s="17"/>
      <c r="LFM192" s="17"/>
      <c r="LFN192" s="17"/>
      <c r="LFO192" s="17"/>
      <c r="LFP192" s="17"/>
      <c r="LFQ192" s="17"/>
      <c r="LFR192" s="17"/>
      <c r="LFS192" s="17"/>
      <c r="LFT192" s="17"/>
      <c r="LFU192" s="17"/>
      <c r="LFV192" s="17"/>
      <c r="LFW192" s="17"/>
      <c r="LFX192" s="17"/>
      <c r="LFY192" s="17"/>
      <c r="LFZ192" s="17"/>
      <c r="LGA192" s="17"/>
      <c r="LGB192" s="17"/>
      <c r="LGC192" s="17"/>
      <c r="LGD192" s="17"/>
      <c r="LGE192" s="17"/>
      <c r="LGF192" s="17"/>
      <c r="LGG192" s="17"/>
      <c r="LGH192" s="17"/>
      <c r="LGI192" s="17"/>
      <c r="LGJ192" s="17"/>
      <c r="LGK192" s="17"/>
      <c r="LGL192" s="17"/>
      <c r="LGM192" s="17"/>
      <c r="LGN192" s="17"/>
      <c r="LGO192" s="17"/>
      <c r="LGP192" s="17"/>
      <c r="LGQ192" s="17"/>
      <c r="LGR192" s="17"/>
      <c r="LGS192" s="17"/>
      <c r="LGT192" s="17"/>
      <c r="LGU192" s="17"/>
      <c r="LGV192" s="17"/>
      <c r="LGW192" s="17"/>
      <c r="LGX192" s="17"/>
      <c r="LGY192" s="17"/>
      <c r="LGZ192" s="17"/>
      <c r="LHA192" s="17"/>
      <c r="LHB192" s="17"/>
      <c r="LHC192" s="17"/>
      <c r="LHD192" s="17"/>
      <c r="LHE192" s="17"/>
      <c r="LHF192" s="17"/>
      <c r="LHG192" s="17"/>
      <c r="LHH192" s="17"/>
      <c r="LHI192" s="17"/>
      <c r="LHJ192" s="17"/>
      <c r="LHK192" s="17"/>
      <c r="LHL192" s="17"/>
      <c r="LHM192" s="17"/>
      <c r="LHN192" s="17"/>
      <c r="LHO192" s="17"/>
      <c r="LHP192" s="17"/>
      <c r="LHQ192" s="17"/>
      <c r="LHR192" s="17"/>
      <c r="LHS192" s="17"/>
      <c r="LHT192" s="17"/>
      <c r="LHU192" s="17"/>
      <c r="LHV192" s="17"/>
      <c r="LHW192" s="17"/>
      <c r="LHX192" s="17"/>
      <c r="LHY192" s="17"/>
      <c r="LHZ192" s="17"/>
      <c r="LIA192" s="17"/>
      <c r="LIB192" s="17"/>
      <c r="LIC192" s="17"/>
      <c r="LID192" s="17"/>
      <c r="LIE192" s="17"/>
      <c r="LIF192" s="17"/>
      <c r="LIG192" s="17"/>
      <c r="LIH192" s="17"/>
      <c r="LII192" s="17"/>
      <c r="LIJ192" s="17"/>
      <c r="LIK192" s="17"/>
      <c r="LIL192" s="17"/>
      <c r="LIM192" s="17"/>
      <c r="LIN192" s="17"/>
      <c r="LIO192" s="17"/>
      <c r="LIP192" s="17"/>
      <c r="LIQ192" s="17"/>
      <c r="LIR192" s="17"/>
      <c r="LIS192" s="17"/>
      <c r="LIT192" s="17"/>
      <c r="LIU192" s="17"/>
      <c r="LIV192" s="17"/>
      <c r="LIW192" s="17"/>
      <c r="LIX192" s="17"/>
      <c r="LIY192" s="17"/>
      <c r="LIZ192" s="17"/>
      <c r="LJA192" s="17"/>
      <c r="LJB192" s="17"/>
      <c r="LJC192" s="17"/>
      <c r="LJD192" s="17"/>
      <c r="LJE192" s="17"/>
      <c r="LJF192" s="17"/>
      <c r="LJG192" s="17"/>
      <c r="LJH192" s="17"/>
      <c r="LJI192" s="17"/>
      <c r="LJJ192" s="17"/>
      <c r="LJK192" s="17"/>
      <c r="LJL192" s="17"/>
      <c r="LJM192" s="17"/>
      <c r="LJN192" s="17"/>
      <c r="LJO192" s="17"/>
      <c r="LJP192" s="17"/>
      <c r="LJQ192" s="17"/>
      <c r="LJR192" s="17"/>
      <c r="LJS192" s="17"/>
      <c r="LJT192" s="17"/>
      <c r="LJU192" s="17"/>
      <c r="LJV192" s="17"/>
      <c r="LJW192" s="17"/>
      <c r="LJX192" s="17"/>
      <c r="LJY192" s="17"/>
      <c r="LJZ192" s="17"/>
      <c r="LKA192" s="17"/>
      <c r="LKB192" s="17"/>
      <c r="LKC192" s="17"/>
      <c r="LKD192" s="17"/>
      <c r="LKE192" s="17"/>
      <c r="LKF192" s="17"/>
      <c r="LKG192" s="17"/>
      <c r="LKH192" s="17"/>
      <c r="LKI192" s="17"/>
      <c r="LKJ192" s="17"/>
      <c r="LKK192" s="17"/>
      <c r="LKL192" s="17"/>
      <c r="LKM192" s="17"/>
      <c r="LKN192" s="17"/>
      <c r="LKO192" s="17"/>
      <c r="LKP192" s="17"/>
      <c r="LKQ192" s="17"/>
      <c r="LKR192" s="17"/>
      <c r="LKS192" s="17"/>
      <c r="LKT192" s="17"/>
      <c r="LKU192" s="17"/>
      <c r="LKV192" s="17"/>
      <c r="LKW192" s="17"/>
      <c r="LKX192" s="17"/>
      <c r="LKY192" s="17"/>
      <c r="LKZ192" s="17"/>
      <c r="LLA192" s="17"/>
      <c r="LLB192" s="17"/>
      <c r="LLC192" s="17"/>
      <c r="LLD192" s="17"/>
      <c r="LLE192" s="17"/>
      <c r="LLF192" s="17"/>
      <c r="LLG192" s="17"/>
      <c r="LLH192" s="17"/>
      <c r="LLI192" s="17"/>
      <c r="LLJ192" s="17"/>
      <c r="LLK192" s="17"/>
      <c r="LLL192" s="17"/>
      <c r="LLM192" s="17"/>
      <c r="LLN192" s="17"/>
      <c r="LLO192" s="17"/>
      <c r="LLP192" s="17"/>
      <c r="LLQ192" s="17"/>
      <c r="LLR192" s="17"/>
      <c r="LLS192" s="17"/>
      <c r="LLT192" s="17"/>
      <c r="LLU192" s="17"/>
      <c r="LLV192" s="17"/>
      <c r="LLW192" s="17"/>
      <c r="LLX192" s="17"/>
      <c r="LLY192" s="17"/>
      <c r="LLZ192" s="17"/>
      <c r="LMA192" s="17"/>
      <c r="LMB192" s="17"/>
      <c r="LMC192" s="17"/>
      <c r="LMD192" s="17"/>
      <c r="LME192" s="17"/>
      <c r="LMF192" s="17"/>
      <c r="LMG192" s="17"/>
      <c r="LMH192" s="17"/>
      <c r="LMI192" s="17"/>
      <c r="LMJ192" s="17"/>
      <c r="LMK192" s="17"/>
      <c r="LML192" s="17"/>
      <c r="LMM192" s="17"/>
      <c r="LMN192" s="17"/>
      <c r="LMO192" s="17"/>
      <c r="LMP192" s="17"/>
      <c r="LMQ192" s="17"/>
      <c r="LMR192" s="17"/>
      <c r="LMS192" s="17"/>
      <c r="LMT192" s="17"/>
      <c r="LMU192" s="17"/>
      <c r="LMV192" s="17"/>
      <c r="LMW192" s="17"/>
      <c r="LMX192" s="17"/>
      <c r="LMY192" s="17"/>
      <c r="LMZ192" s="17"/>
      <c r="LNA192" s="17"/>
      <c r="LNB192" s="17"/>
      <c r="LNC192" s="17"/>
      <c r="LND192" s="17"/>
      <c r="LNE192" s="17"/>
      <c r="LNF192" s="17"/>
      <c r="LNG192" s="17"/>
      <c r="LNH192" s="17"/>
      <c r="LNI192" s="17"/>
      <c r="LNJ192" s="17"/>
      <c r="LNK192" s="17"/>
      <c r="LNL192" s="17"/>
      <c r="LNM192" s="17"/>
      <c r="LNN192" s="17"/>
      <c r="LNO192" s="17"/>
      <c r="LNP192" s="17"/>
      <c r="LNQ192" s="17"/>
      <c r="LNR192" s="17"/>
      <c r="LNS192" s="17"/>
      <c r="LNT192" s="17"/>
      <c r="LNU192" s="17"/>
      <c r="LNV192" s="17"/>
      <c r="LNW192" s="17"/>
      <c r="LNX192" s="17"/>
      <c r="LNY192" s="17"/>
      <c r="LNZ192" s="17"/>
      <c r="LOA192" s="17"/>
      <c r="LOB192" s="17"/>
      <c r="LOC192" s="17"/>
      <c r="LOD192" s="17"/>
      <c r="LOE192" s="17"/>
      <c r="LOF192" s="17"/>
      <c r="LOG192" s="17"/>
      <c r="LOH192" s="17"/>
      <c r="LOI192" s="17"/>
      <c r="LOJ192" s="17"/>
      <c r="LOK192" s="17"/>
      <c r="LOL192" s="17"/>
      <c r="LOM192" s="17"/>
      <c r="LON192" s="17"/>
      <c r="LOO192" s="17"/>
      <c r="LOP192" s="17"/>
      <c r="LOQ192" s="17"/>
      <c r="LOR192" s="17"/>
      <c r="LOS192" s="17"/>
      <c r="LOT192" s="17"/>
      <c r="LOU192" s="17"/>
      <c r="LOV192" s="17"/>
      <c r="LOW192" s="17"/>
      <c r="LOX192" s="17"/>
      <c r="LOY192" s="17"/>
      <c r="LOZ192" s="17"/>
      <c r="LPA192" s="17"/>
      <c r="LPB192" s="17"/>
      <c r="LPC192" s="17"/>
      <c r="LPD192" s="17"/>
      <c r="LPE192" s="17"/>
      <c r="LPF192" s="17"/>
      <c r="LPG192" s="17"/>
      <c r="LPH192" s="17"/>
      <c r="LPI192" s="17"/>
      <c r="LPJ192" s="17"/>
      <c r="LPK192" s="17"/>
      <c r="LPL192" s="17"/>
      <c r="LPM192" s="17"/>
      <c r="LPN192" s="17"/>
      <c r="LPO192" s="17"/>
      <c r="LPP192" s="17"/>
      <c r="LPQ192" s="17"/>
      <c r="LPR192" s="17"/>
      <c r="LPS192" s="17"/>
      <c r="LPT192" s="17"/>
      <c r="LPU192" s="17"/>
      <c r="LPV192" s="17"/>
      <c r="LPW192" s="17"/>
      <c r="LPX192" s="17"/>
      <c r="LPY192" s="17"/>
      <c r="LPZ192" s="17"/>
      <c r="LQA192" s="17"/>
      <c r="LQB192" s="17"/>
      <c r="LQC192" s="17"/>
      <c r="LQD192" s="17"/>
      <c r="LQE192" s="17"/>
      <c r="LQF192" s="17"/>
      <c r="LQG192" s="17"/>
      <c r="LQH192" s="17"/>
      <c r="LQI192" s="17"/>
      <c r="LQJ192" s="17"/>
      <c r="LQK192" s="17"/>
      <c r="LQL192" s="17"/>
      <c r="LQM192" s="17"/>
      <c r="LQN192" s="17"/>
      <c r="LQO192" s="17"/>
      <c r="LQP192" s="17"/>
      <c r="LQQ192" s="17"/>
      <c r="LQR192" s="17"/>
      <c r="LQS192" s="17"/>
      <c r="LQT192" s="17"/>
      <c r="LQU192" s="17"/>
      <c r="LQV192" s="17"/>
      <c r="LQW192" s="17"/>
      <c r="LQX192" s="17"/>
      <c r="LQY192" s="17"/>
      <c r="LQZ192" s="17"/>
      <c r="LRA192" s="17"/>
      <c r="LRB192" s="17"/>
      <c r="LRC192" s="17"/>
      <c r="LRD192" s="17"/>
      <c r="LRE192" s="17"/>
      <c r="LRF192" s="17"/>
      <c r="LRG192" s="17"/>
      <c r="LRH192" s="17"/>
      <c r="LRI192" s="17"/>
      <c r="LRJ192" s="17"/>
      <c r="LRK192" s="17"/>
      <c r="LRL192" s="17"/>
      <c r="LRM192" s="17"/>
      <c r="LRN192" s="17"/>
      <c r="LRO192" s="17"/>
      <c r="LRP192" s="17"/>
      <c r="LRQ192" s="17"/>
      <c r="LRR192" s="17"/>
      <c r="LRS192" s="17"/>
      <c r="LRT192" s="17"/>
      <c r="LRU192" s="17"/>
      <c r="LRV192" s="17"/>
      <c r="LRW192" s="17"/>
      <c r="LRX192" s="17"/>
      <c r="LRY192" s="17"/>
      <c r="LRZ192" s="17"/>
      <c r="LSA192" s="17"/>
      <c r="LSB192" s="17"/>
      <c r="LSC192" s="17"/>
      <c r="LSD192" s="17"/>
      <c r="LSE192" s="17"/>
      <c r="LSF192" s="17"/>
      <c r="LSG192" s="17"/>
      <c r="LSH192" s="17"/>
      <c r="LSI192" s="17"/>
      <c r="LSJ192" s="17"/>
      <c r="LSK192" s="17"/>
      <c r="LSL192" s="17"/>
      <c r="LSM192" s="17"/>
      <c r="LSN192" s="17"/>
      <c r="LSO192" s="17"/>
      <c r="LSP192" s="17"/>
      <c r="LSQ192" s="17"/>
      <c r="LSR192" s="17"/>
      <c r="LSS192" s="17"/>
      <c r="LST192" s="17"/>
      <c r="LSU192" s="17"/>
      <c r="LSV192" s="17"/>
      <c r="LSW192" s="17"/>
      <c r="LSX192" s="17"/>
      <c r="LSY192" s="17"/>
      <c r="LSZ192" s="17"/>
      <c r="LTA192" s="17"/>
      <c r="LTB192" s="17"/>
      <c r="LTC192" s="17"/>
      <c r="LTD192" s="17"/>
      <c r="LTE192" s="17"/>
      <c r="LTF192" s="17"/>
      <c r="LTG192" s="17"/>
      <c r="LTH192" s="17"/>
      <c r="LTI192" s="17"/>
      <c r="LTJ192" s="17"/>
      <c r="LTK192" s="17"/>
      <c r="LTL192" s="17"/>
      <c r="LTM192" s="17"/>
      <c r="LTN192" s="17"/>
      <c r="LTO192" s="17"/>
      <c r="LTP192" s="17"/>
      <c r="LTQ192" s="17"/>
      <c r="LTR192" s="17"/>
      <c r="LTS192" s="17"/>
      <c r="LTT192" s="17"/>
      <c r="LTU192" s="17"/>
      <c r="LTV192" s="17"/>
      <c r="LTW192" s="17"/>
      <c r="LTX192" s="17"/>
      <c r="LTY192" s="17"/>
      <c r="LTZ192" s="17"/>
      <c r="LUA192" s="17"/>
      <c r="LUB192" s="17"/>
      <c r="LUC192" s="17"/>
      <c r="LUD192" s="17"/>
      <c r="LUE192" s="17"/>
      <c r="LUF192" s="17"/>
      <c r="LUG192" s="17"/>
      <c r="LUH192" s="17"/>
      <c r="LUI192" s="17"/>
      <c r="LUJ192" s="17"/>
      <c r="LUK192" s="17"/>
      <c r="LUL192" s="17"/>
      <c r="LUM192" s="17"/>
      <c r="LUN192" s="17"/>
      <c r="LUO192" s="17"/>
      <c r="LUP192" s="17"/>
      <c r="LUQ192" s="17"/>
      <c r="LUR192" s="17"/>
      <c r="LUS192" s="17"/>
      <c r="LUT192" s="17"/>
      <c r="LUU192" s="17"/>
      <c r="LUV192" s="17"/>
      <c r="LUW192" s="17"/>
      <c r="LUX192" s="17"/>
      <c r="LUY192" s="17"/>
      <c r="LUZ192" s="17"/>
      <c r="LVA192" s="17"/>
      <c r="LVB192" s="17"/>
      <c r="LVC192" s="17"/>
      <c r="LVD192" s="17"/>
      <c r="LVE192" s="17"/>
      <c r="LVF192" s="17"/>
      <c r="LVG192" s="17"/>
      <c r="LVH192" s="17"/>
      <c r="LVI192" s="17"/>
      <c r="LVJ192" s="17"/>
      <c r="LVK192" s="17"/>
      <c r="LVL192" s="17"/>
      <c r="LVM192" s="17"/>
      <c r="LVN192" s="17"/>
      <c r="LVO192" s="17"/>
      <c r="LVP192" s="17"/>
      <c r="LVQ192" s="17"/>
      <c r="LVR192" s="17"/>
      <c r="LVS192" s="17"/>
      <c r="LVT192" s="17"/>
      <c r="LVU192" s="17"/>
      <c r="LVV192" s="17"/>
      <c r="LVW192" s="17"/>
      <c r="LVX192" s="17"/>
      <c r="LVY192" s="17"/>
      <c r="LVZ192" s="17"/>
      <c r="LWA192" s="17"/>
      <c r="LWB192" s="17"/>
      <c r="LWC192" s="17"/>
      <c r="LWD192" s="17"/>
      <c r="LWE192" s="17"/>
      <c r="LWF192" s="17"/>
      <c r="LWG192" s="17"/>
      <c r="LWH192" s="17"/>
      <c r="LWI192" s="17"/>
      <c r="LWJ192" s="17"/>
      <c r="LWK192" s="17"/>
      <c r="LWL192" s="17"/>
      <c r="LWM192" s="17"/>
      <c r="LWN192" s="17"/>
      <c r="LWO192" s="17"/>
      <c r="LWP192" s="17"/>
      <c r="LWQ192" s="17"/>
      <c r="LWR192" s="17"/>
      <c r="LWS192" s="17"/>
      <c r="LWT192" s="17"/>
      <c r="LWU192" s="17"/>
      <c r="LWV192" s="17"/>
      <c r="LWW192" s="17"/>
      <c r="LWX192" s="17"/>
      <c r="LWY192" s="17"/>
      <c r="LWZ192" s="17"/>
      <c r="LXA192" s="17"/>
      <c r="LXB192" s="17"/>
      <c r="LXC192" s="17"/>
      <c r="LXD192" s="17"/>
      <c r="LXE192" s="17"/>
      <c r="LXF192" s="17"/>
      <c r="LXG192" s="17"/>
      <c r="LXH192" s="17"/>
      <c r="LXI192" s="17"/>
      <c r="LXJ192" s="17"/>
      <c r="LXK192" s="17"/>
      <c r="LXL192" s="17"/>
      <c r="LXM192" s="17"/>
      <c r="LXN192" s="17"/>
      <c r="LXO192" s="17"/>
      <c r="LXP192" s="17"/>
      <c r="LXQ192" s="17"/>
      <c r="LXR192" s="17"/>
      <c r="LXS192" s="17"/>
      <c r="LXT192" s="17"/>
      <c r="LXU192" s="17"/>
      <c r="LXV192" s="17"/>
      <c r="LXW192" s="17"/>
      <c r="LXX192" s="17"/>
      <c r="LXY192" s="17"/>
      <c r="LXZ192" s="17"/>
      <c r="LYA192" s="17"/>
      <c r="LYB192" s="17"/>
      <c r="LYC192" s="17"/>
      <c r="LYD192" s="17"/>
      <c r="LYE192" s="17"/>
      <c r="LYF192" s="17"/>
      <c r="LYG192" s="17"/>
      <c r="LYH192" s="17"/>
      <c r="LYI192" s="17"/>
      <c r="LYJ192" s="17"/>
      <c r="LYK192" s="17"/>
      <c r="LYL192" s="17"/>
      <c r="LYM192" s="17"/>
      <c r="LYN192" s="17"/>
      <c r="LYO192" s="17"/>
      <c r="LYP192" s="17"/>
      <c r="LYQ192" s="17"/>
      <c r="LYR192" s="17"/>
      <c r="LYS192" s="17"/>
      <c r="LYT192" s="17"/>
      <c r="LYU192" s="17"/>
      <c r="LYV192" s="17"/>
      <c r="LYW192" s="17"/>
      <c r="LYX192" s="17"/>
      <c r="LYY192" s="17"/>
      <c r="LYZ192" s="17"/>
      <c r="LZA192" s="17"/>
      <c r="LZB192" s="17"/>
      <c r="LZC192" s="17"/>
      <c r="LZD192" s="17"/>
      <c r="LZE192" s="17"/>
      <c r="LZF192" s="17"/>
      <c r="LZG192" s="17"/>
      <c r="LZH192" s="17"/>
      <c r="LZI192" s="17"/>
      <c r="LZJ192" s="17"/>
      <c r="LZK192" s="17"/>
      <c r="LZL192" s="17"/>
      <c r="LZM192" s="17"/>
      <c r="LZN192" s="17"/>
      <c r="LZO192" s="17"/>
      <c r="LZP192" s="17"/>
      <c r="LZQ192" s="17"/>
      <c r="LZR192" s="17"/>
      <c r="LZS192" s="17"/>
      <c r="LZT192" s="17"/>
      <c r="LZU192" s="17"/>
      <c r="LZV192" s="17"/>
      <c r="LZW192" s="17"/>
      <c r="LZX192" s="17"/>
      <c r="LZY192" s="17"/>
      <c r="LZZ192" s="17"/>
      <c r="MAA192" s="17"/>
      <c r="MAB192" s="17"/>
      <c r="MAC192" s="17"/>
      <c r="MAD192" s="17"/>
      <c r="MAE192" s="17"/>
      <c r="MAF192" s="17"/>
      <c r="MAG192" s="17"/>
      <c r="MAH192" s="17"/>
      <c r="MAI192" s="17"/>
      <c r="MAJ192" s="17"/>
      <c r="MAK192" s="17"/>
      <c r="MAL192" s="17"/>
      <c r="MAM192" s="17"/>
      <c r="MAN192" s="17"/>
      <c r="MAO192" s="17"/>
      <c r="MAP192" s="17"/>
      <c r="MAQ192" s="17"/>
      <c r="MAR192" s="17"/>
      <c r="MAS192" s="17"/>
      <c r="MAT192" s="17"/>
      <c r="MAU192" s="17"/>
      <c r="MAV192" s="17"/>
      <c r="MAW192" s="17"/>
      <c r="MAX192" s="17"/>
      <c r="MAY192" s="17"/>
      <c r="MAZ192" s="17"/>
      <c r="MBA192" s="17"/>
      <c r="MBB192" s="17"/>
      <c r="MBC192" s="17"/>
      <c r="MBD192" s="17"/>
      <c r="MBE192" s="17"/>
      <c r="MBF192" s="17"/>
      <c r="MBG192" s="17"/>
      <c r="MBH192" s="17"/>
      <c r="MBI192" s="17"/>
      <c r="MBJ192" s="17"/>
      <c r="MBK192" s="17"/>
      <c r="MBL192" s="17"/>
      <c r="MBM192" s="17"/>
      <c r="MBN192" s="17"/>
      <c r="MBO192" s="17"/>
      <c r="MBP192" s="17"/>
      <c r="MBQ192" s="17"/>
      <c r="MBR192" s="17"/>
      <c r="MBS192" s="17"/>
      <c r="MBT192" s="17"/>
      <c r="MBU192" s="17"/>
      <c r="MBV192" s="17"/>
      <c r="MBW192" s="17"/>
      <c r="MBX192" s="17"/>
      <c r="MBY192" s="17"/>
      <c r="MBZ192" s="17"/>
      <c r="MCA192" s="17"/>
      <c r="MCB192" s="17"/>
      <c r="MCC192" s="17"/>
      <c r="MCD192" s="17"/>
      <c r="MCE192" s="17"/>
      <c r="MCF192" s="17"/>
      <c r="MCG192" s="17"/>
      <c r="MCH192" s="17"/>
      <c r="MCI192" s="17"/>
      <c r="MCJ192" s="17"/>
      <c r="MCK192" s="17"/>
      <c r="MCL192" s="17"/>
      <c r="MCM192" s="17"/>
      <c r="MCN192" s="17"/>
      <c r="MCO192" s="17"/>
      <c r="MCP192" s="17"/>
      <c r="MCQ192" s="17"/>
      <c r="MCR192" s="17"/>
      <c r="MCS192" s="17"/>
      <c r="MCT192" s="17"/>
      <c r="MCU192" s="17"/>
      <c r="MCV192" s="17"/>
      <c r="MCW192" s="17"/>
      <c r="MCX192" s="17"/>
      <c r="MCY192" s="17"/>
      <c r="MCZ192" s="17"/>
      <c r="MDA192" s="17"/>
      <c r="MDB192" s="17"/>
      <c r="MDC192" s="17"/>
      <c r="MDD192" s="17"/>
      <c r="MDE192" s="17"/>
      <c r="MDF192" s="17"/>
      <c r="MDG192" s="17"/>
      <c r="MDH192" s="17"/>
      <c r="MDI192" s="17"/>
      <c r="MDJ192" s="17"/>
      <c r="MDK192" s="17"/>
      <c r="MDL192" s="17"/>
      <c r="MDM192" s="17"/>
      <c r="MDN192" s="17"/>
      <c r="MDO192" s="17"/>
      <c r="MDP192" s="17"/>
      <c r="MDQ192" s="17"/>
      <c r="MDR192" s="17"/>
      <c r="MDS192" s="17"/>
      <c r="MDT192" s="17"/>
      <c r="MDU192" s="17"/>
      <c r="MDV192" s="17"/>
      <c r="MDW192" s="17"/>
      <c r="MDX192" s="17"/>
      <c r="MDY192" s="17"/>
      <c r="MDZ192" s="17"/>
      <c r="MEA192" s="17"/>
      <c r="MEB192" s="17"/>
      <c r="MEC192" s="17"/>
      <c r="MED192" s="17"/>
      <c r="MEE192" s="17"/>
      <c r="MEF192" s="17"/>
      <c r="MEG192" s="17"/>
      <c r="MEH192" s="17"/>
      <c r="MEI192" s="17"/>
      <c r="MEJ192" s="17"/>
      <c r="MEK192" s="17"/>
      <c r="MEL192" s="17"/>
      <c r="MEM192" s="17"/>
      <c r="MEN192" s="17"/>
      <c r="MEO192" s="17"/>
      <c r="MEP192" s="17"/>
      <c r="MEQ192" s="17"/>
      <c r="MER192" s="17"/>
      <c r="MES192" s="17"/>
      <c r="MET192" s="17"/>
      <c r="MEU192" s="17"/>
      <c r="MEV192" s="17"/>
      <c r="MEW192" s="17"/>
      <c r="MEX192" s="17"/>
      <c r="MEY192" s="17"/>
      <c r="MEZ192" s="17"/>
      <c r="MFA192" s="17"/>
      <c r="MFB192" s="17"/>
      <c r="MFC192" s="17"/>
      <c r="MFD192" s="17"/>
      <c r="MFE192" s="17"/>
      <c r="MFF192" s="17"/>
      <c r="MFG192" s="17"/>
      <c r="MFH192" s="17"/>
      <c r="MFI192" s="17"/>
      <c r="MFJ192" s="17"/>
      <c r="MFK192" s="17"/>
      <c r="MFL192" s="17"/>
      <c r="MFM192" s="17"/>
      <c r="MFN192" s="17"/>
      <c r="MFO192" s="17"/>
      <c r="MFP192" s="17"/>
      <c r="MFQ192" s="17"/>
      <c r="MFR192" s="17"/>
      <c r="MFS192" s="17"/>
      <c r="MFT192" s="17"/>
      <c r="MFU192" s="17"/>
      <c r="MFV192" s="17"/>
      <c r="MFW192" s="17"/>
      <c r="MFX192" s="17"/>
      <c r="MFY192" s="17"/>
      <c r="MFZ192" s="17"/>
      <c r="MGA192" s="17"/>
      <c r="MGB192" s="17"/>
      <c r="MGC192" s="17"/>
      <c r="MGD192" s="17"/>
      <c r="MGE192" s="17"/>
      <c r="MGF192" s="17"/>
      <c r="MGG192" s="17"/>
      <c r="MGH192" s="17"/>
      <c r="MGI192" s="17"/>
      <c r="MGJ192" s="17"/>
      <c r="MGK192" s="17"/>
      <c r="MGL192" s="17"/>
      <c r="MGM192" s="17"/>
      <c r="MGN192" s="17"/>
      <c r="MGO192" s="17"/>
      <c r="MGP192" s="17"/>
      <c r="MGQ192" s="17"/>
      <c r="MGR192" s="17"/>
      <c r="MGS192" s="17"/>
      <c r="MGT192" s="17"/>
      <c r="MGU192" s="17"/>
      <c r="MGV192" s="17"/>
      <c r="MGW192" s="17"/>
      <c r="MGX192" s="17"/>
      <c r="MGY192" s="17"/>
      <c r="MGZ192" s="17"/>
      <c r="MHA192" s="17"/>
      <c r="MHB192" s="17"/>
      <c r="MHC192" s="17"/>
      <c r="MHD192" s="17"/>
      <c r="MHE192" s="17"/>
      <c r="MHF192" s="17"/>
      <c r="MHG192" s="17"/>
      <c r="MHH192" s="17"/>
      <c r="MHI192" s="17"/>
      <c r="MHJ192" s="17"/>
      <c r="MHK192" s="17"/>
      <c r="MHL192" s="17"/>
      <c r="MHM192" s="17"/>
      <c r="MHN192" s="17"/>
      <c r="MHO192" s="17"/>
      <c r="MHP192" s="17"/>
      <c r="MHQ192" s="17"/>
      <c r="MHR192" s="17"/>
      <c r="MHS192" s="17"/>
      <c r="MHT192" s="17"/>
      <c r="MHU192" s="17"/>
      <c r="MHV192" s="17"/>
      <c r="MHW192" s="17"/>
      <c r="MHX192" s="17"/>
      <c r="MHY192" s="17"/>
      <c r="MHZ192" s="17"/>
      <c r="MIA192" s="17"/>
      <c r="MIB192" s="17"/>
      <c r="MIC192" s="17"/>
      <c r="MID192" s="17"/>
      <c r="MIE192" s="17"/>
      <c r="MIF192" s="17"/>
      <c r="MIG192" s="17"/>
      <c r="MIH192" s="17"/>
      <c r="MII192" s="17"/>
      <c r="MIJ192" s="17"/>
      <c r="MIK192" s="17"/>
      <c r="MIL192" s="17"/>
      <c r="MIM192" s="17"/>
      <c r="MIN192" s="17"/>
      <c r="MIO192" s="17"/>
      <c r="MIP192" s="17"/>
      <c r="MIQ192" s="17"/>
      <c r="MIR192" s="17"/>
      <c r="MIS192" s="17"/>
      <c r="MIT192" s="17"/>
      <c r="MIU192" s="17"/>
      <c r="MIV192" s="17"/>
      <c r="MIW192" s="17"/>
      <c r="MIX192" s="17"/>
      <c r="MIY192" s="17"/>
      <c r="MIZ192" s="17"/>
      <c r="MJA192" s="17"/>
      <c r="MJB192" s="17"/>
      <c r="MJC192" s="17"/>
      <c r="MJD192" s="17"/>
      <c r="MJE192" s="17"/>
      <c r="MJF192" s="17"/>
      <c r="MJG192" s="17"/>
      <c r="MJH192" s="17"/>
      <c r="MJI192" s="17"/>
      <c r="MJJ192" s="17"/>
      <c r="MJK192" s="17"/>
      <c r="MJL192" s="17"/>
      <c r="MJM192" s="17"/>
      <c r="MJN192" s="17"/>
      <c r="MJO192" s="17"/>
      <c r="MJP192" s="17"/>
      <c r="MJQ192" s="17"/>
      <c r="MJR192" s="17"/>
      <c r="MJS192" s="17"/>
      <c r="MJT192" s="17"/>
      <c r="MJU192" s="17"/>
      <c r="MJV192" s="17"/>
      <c r="MJW192" s="17"/>
      <c r="MJX192" s="17"/>
      <c r="MJY192" s="17"/>
      <c r="MJZ192" s="17"/>
      <c r="MKA192" s="17"/>
      <c r="MKB192" s="17"/>
      <c r="MKC192" s="17"/>
      <c r="MKD192" s="17"/>
      <c r="MKE192" s="17"/>
      <c r="MKF192" s="17"/>
      <c r="MKG192" s="17"/>
      <c r="MKH192" s="17"/>
      <c r="MKI192" s="17"/>
      <c r="MKJ192" s="17"/>
      <c r="MKK192" s="17"/>
      <c r="MKL192" s="17"/>
      <c r="MKM192" s="17"/>
      <c r="MKN192" s="17"/>
      <c r="MKO192" s="17"/>
      <c r="MKP192" s="17"/>
      <c r="MKQ192" s="17"/>
      <c r="MKR192" s="17"/>
      <c r="MKS192" s="17"/>
      <c r="MKT192" s="17"/>
      <c r="MKU192" s="17"/>
      <c r="MKV192" s="17"/>
      <c r="MKW192" s="17"/>
      <c r="MKX192" s="17"/>
      <c r="MKY192" s="17"/>
      <c r="MKZ192" s="17"/>
      <c r="MLA192" s="17"/>
      <c r="MLB192" s="17"/>
      <c r="MLC192" s="17"/>
      <c r="MLD192" s="17"/>
      <c r="MLE192" s="17"/>
      <c r="MLF192" s="17"/>
      <c r="MLG192" s="17"/>
      <c r="MLH192" s="17"/>
      <c r="MLI192" s="17"/>
      <c r="MLJ192" s="17"/>
      <c r="MLK192" s="17"/>
      <c r="MLL192" s="17"/>
      <c r="MLM192" s="17"/>
      <c r="MLN192" s="17"/>
      <c r="MLO192" s="17"/>
      <c r="MLP192" s="17"/>
      <c r="MLQ192" s="17"/>
      <c r="MLR192" s="17"/>
      <c r="MLS192" s="17"/>
      <c r="MLT192" s="17"/>
      <c r="MLU192" s="17"/>
      <c r="MLV192" s="17"/>
      <c r="MLW192" s="17"/>
      <c r="MLX192" s="17"/>
      <c r="MLY192" s="17"/>
      <c r="MLZ192" s="17"/>
      <c r="MMA192" s="17"/>
      <c r="MMB192" s="17"/>
      <c r="MMC192" s="17"/>
      <c r="MMD192" s="17"/>
      <c r="MME192" s="17"/>
      <c r="MMF192" s="17"/>
      <c r="MMG192" s="17"/>
      <c r="MMH192" s="17"/>
      <c r="MMI192" s="17"/>
      <c r="MMJ192" s="17"/>
      <c r="MMK192" s="17"/>
      <c r="MML192" s="17"/>
      <c r="MMM192" s="17"/>
      <c r="MMN192" s="17"/>
      <c r="MMO192" s="17"/>
      <c r="MMP192" s="17"/>
      <c r="MMQ192" s="17"/>
      <c r="MMR192" s="17"/>
      <c r="MMS192" s="17"/>
      <c r="MMT192" s="17"/>
      <c r="MMU192" s="17"/>
      <c r="MMV192" s="17"/>
      <c r="MMW192" s="17"/>
      <c r="MMX192" s="17"/>
      <c r="MMY192" s="17"/>
      <c r="MMZ192" s="17"/>
      <c r="MNA192" s="17"/>
      <c r="MNB192" s="17"/>
      <c r="MNC192" s="17"/>
      <c r="MND192" s="17"/>
      <c r="MNE192" s="17"/>
      <c r="MNF192" s="17"/>
      <c r="MNG192" s="17"/>
      <c r="MNH192" s="17"/>
      <c r="MNI192" s="17"/>
      <c r="MNJ192" s="17"/>
      <c r="MNK192" s="17"/>
      <c r="MNL192" s="17"/>
      <c r="MNM192" s="17"/>
      <c r="MNN192" s="17"/>
      <c r="MNO192" s="17"/>
      <c r="MNP192" s="17"/>
      <c r="MNQ192" s="17"/>
      <c r="MNR192" s="17"/>
      <c r="MNS192" s="17"/>
      <c r="MNT192" s="17"/>
      <c r="MNU192" s="17"/>
      <c r="MNV192" s="17"/>
      <c r="MNW192" s="17"/>
      <c r="MNX192" s="17"/>
      <c r="MNY192" s="17"/>
      <c r="MNZ192" s="17"/>
      <c r="MOA192" s="17"/>
      <c r="MOB192" s="17"/>
      <c r="MOC192" s="17"/>
      <c r="MOD192" s="17"/>
      <c r="MOE192" s="17"/>
      <c r="MOF192" s="17"/>
      <c r="MOG192" s="17"/>
      <c r="MOH192" s="17"/>
      <c r="MOI192" s="17"/>
      <c r="MOJ192" s="17"/>
      <c r="MOK192" s="17"/>
      <c r="MOL192" s="17"/>
      <c r="MOM192" s="17"/>
      <c r="MON192" s="17"/>
      <c r="MOO192" s="17"/>
      <c r="MOP192" s="17"/>
      <c r="MOQ192" s="17"/>
      <c r="MOR192" s="17"/>
      <c r="MOS192" s="17"/>
      <c r="MOT192" s="17"/>
      <c r="MOU192" s="17"/>
      <c r="MOV192" s="17"/>
      <c r="MOW192" s="17"/>
      <c r="MOX192" s="17"/>
      <c r="MOY192" s="17"/>
      <c r="MOZ192" s="17"/>
      <c r="MPA192" s="17"/>
      <c r="MPB192" s="17"/>
      <c r="MPC192" s="17"/>
      <c r="MPD192" s="17"/>
      <c r="MPE192" s="17"/>
      <c r="MPF192" s="17"/>
      <c r="MPG192" s="17"/>
      <c r="MPH192" s="17"/>
      <c r="MPI192" s="17"/>
      <c r="MPJ192" s="17"/>
      <c r="MPK192" s="17"/>
      <c r="MPL192" s="17"/>
      <c r="MPM192" s="17"/>
      <c r="MPN192" s="17"/>
      <c r="MPO192" s="17"/>
      <c r="MPP192" s="17"/>
      <c r="MPQ192" s="17"/>
      <c r="MPR192" s="17"/>
      <c r="MPS192" s="17"/>
      <c r="MPT192" s="17"/>
      <c r="MPU192" s="17"/>
      <c r="MPV192" s="17"/>
      <c r="MPW192" s="17"/>
      <c r="MPX192" s="17"/>
      <c r="MPY192" s="17"/>
      <c r="MPZ192" s="17"/>
      <c r="MQA192" s="17"/>
      <c r="MQB192" s="17"/>
      <c r="MQC192" s="17"/>
      <c r="MQD192" s="17"/>
      <c r="MQE192" s="17"/>
      <c r="MQF192" s="17"/>
      <c r="MQG192" s="17"/>
      <c r="MQH192" s="17"/>
      <c r="MQI192" s="17"/>
      <c r="MQJ192" s="17"/>
      <c r="MQK192" s="17"/>
      <c r="MQL192" s="17"/>
      <c r="MQM192" s="17"/>
      <c r="MQN192" s="17"/>
      <c r="MQO192" s="17"/>
      <c r="MQP192" s="17"/>
      <c r="MQQ192" s="17"/>
      <c r="MQR192" s="17"/>
      <c r="MQS192" s="17"/>
      <c r="MQT192" s="17"/>
      <c r="MQU192" s="17"/>
      <c r="MQV192" s="17"/>
      <c r="MQW192" s="17"/>
      <c r="MQX192" s="17"/>
      <c r="MQY192" s="17"/>
      <c r="MQZ192" s="17"/>
      <c r="MRA192" s="17"/>
      <c r="MRB192" s="17"/>
      <c r="MRC192" s="17"/>
      <c r="MRD192" s="17"/>
      <c r="MRE192" s="17"/>
      <c r="MRF192" s="17"/>
      <c r="MRG192" s="17"/>
      <c r="MRH192" s="17"/>
      <c r="MRI192" s="17"/>
      <c r="MRJ192" s="17"/>
      <c r="MRK192" s="17"/>
      <c r="MRL192" s="17"/>
      <c r="MRM192" s="17"/>
      <c r="MRN192" s="17"/>
      <c r="MRO192" s="17"/>
      <c r="MRP192" s="17"/>
      <c r="MRQ192" s="17"/>
      <c r="MRR192" s="17"/>
      <c r="MRS192" s="17"/>
      <c r="MRT192" s="17"/>
      <c r="MRU192" s="17"/>
      <c r="MRV192" s="17"/>
      <c r="MRW192" s="17"/>
      <c r="MRX192" s="17"/>
      <c r="MRY192" s="17"/>
      <c r="MRZ192" s="17"/>
      <c r="MSA192" s="17"/>
      <c r="MSB192" s="17"/>
      <c r="MSC192" s="17"/>
      <c r="MSD192" s="17"/>
      <c r="MSE192" s="17"/>
      <c r="MSF192" s="17"/>
      <c r="MSG192" s="17"/>
      <c r="MSH192" s="17"/>
      <c r="MSI192" s="17"/>
      <c r="MSJ192" s="17"/>
      <c r="MSK192" s="17"/>
      <c r="MSL192" s="17"/>
      <c r="MSM192" s="17"/>
      <c r="MSN192" s="17"/>
      <c r="MSO192" s="17"/>
      <c r="MSP192" s="17"/>
      <c r="MSQ192" s="17"/>
      <c r="MSR192" s="17"/>
      <c r="MSS192" s="17"/>
      <c r="MST192" s="17"/>
      <c r="MSU192" s="17"/>
      <c r="MSV192" s="17"/>
      <c r="MSW192" s="17"/>
      <c r="MSX192" s="17"/>
      <c r="MSY192" s="17"/>
      <c r="MSZ192" s="17"/>
      <c r="MTA192" s="17"/>
      <c r="MTB192" s="17"/>
      <c r="MTC192" s="17"/>
      <c r="MTD192" s="17"/>
      <c r="MTE192" s="17"/>
      <c r="MTF192" s="17"/>
      <c r="MTG192" s="17"/>
      <c r="MTH192" s="17"/>
      <c r="MTI192" s="17"/>
      <c r="MTJ192" s="17"/>
      <c r="MTK192" s="17"/>
      <c r="MTL192" s="17"/>
      <c r="MTM192" s="17"/>
      <c r="MTN192" s="17"/>
      <c r="MTO192" s="17"/>
      <c r="MTP192" s="17"/>
      <c r="MTQ192" s="17"/>
      <c r="MTR192" s="17"/>
      <c r="MTS192" s="17"/>
      <c r="MTT192" s="17"/>
      <c r="MTU192" s="17"/>
      <c r="MTV192" s="17"/>
      <c r="MTW192" s="17"/>
      <c r="MTX192" s="17"/>
      <c r="MTY192" s="17"/>
      <c r="MTZ192" s="17"/>
      <c r="MUA192" s="17"/>
      <c r="MUB192" s="17"/>
      <c r="MUC192" s="17"/>
      <c r="MUD192" s="17"/>
      <c r="MUE192" s="17"/>
      <c r="MUF192" s="17"/>
      <c r="MUG192" s="17"/>
      <c r="MUH192" s="17"/>
      <c r="MUI192" s="17"/>
      <c r="MUJ192" s="17"/>
      <c r="MUK192" s="17"/>
      <c r="MUL192" s="17"/>
      <c r="MUM192" s="17"/>
      <c r="MUN192" s="17"/>
      <c r="MUO192" s="17"/>
      <c r="MUP192" s="17"/>
      <c r="MUQ192" s="17"/>
      <c r="MUR192" s="17"/>
      <c r="MUS192" s="17"/>
      <c r="MUT192" s="17"/>
      <c r="MUU192" s="17"/>
      <c r="MUV192" s="17"/>
      <c r="MUW192" s="17"/>
      <c r="MUX192" s="17"/>
      <c r="MUY192" s="17"/>
      <c r="MUZ192" s="17"/>
      <c r="MVA192" s="17"/>
      <c r="MVB192" s="17"/>
      <c r="MVC192" s="17"/>
      <c r="MVD192" s="17"/>
      <c r="MVE192" s="17"/>
      <c r="MVF192" s="17"/>
      <c r="MVG192" s="17"/>
      <c r="MVH192" s="17"/>
      <c r="MVI192" s="17"/>
      <c r="MVJ192" s="17"/>
      <c r="MVK192" s="17"/>
      <c r="MVL192" s="17"/>
      <c r="MVM192" s="17"/>
      <c r="MVN192" s="17"/>
      <c r="MVO192" s="17"/>
      <c r="MVP192" s="17"/>
      <c r="MVQ192" s="17"/>
      <c r="MVR192" s="17"/>
      <c r="MVS192" s="17"/>
      <c r="MVT192" s="17"/>
      <c r="MVU192" s="17"/>
      <c r="MVV192" s="17"/>
      <c r="MVW192" s="17"/>
      <c r="MVX192" s="17"/>
      <c r="MVY192" s="17"/>
      <c r="MVZ192" s="17"/>
      <c r="MWA192" s="17"/>
      <c r="MWB192" s="17"/>
      <c r="MWC192" s="17"/>
      <c r="MWD192" s="17"/>
      <c r="MWE192" s="17"/>
      <c r="MWF192" s="17"/>
      <c r="MWG192" s="17"/>
      <c r="MWH192" s="17"/>
      <c r="MWI192" s="17"/>
      <c r="MWJ192" s="17"/>
      <c r="MWK192" s="17"/>
      <c r="MWL192" s="17"/>
      <c r="MWM192" s="17"/>
      <c r="MWN192" s="17"/>
      <c r="MWO192" s="17"/>
      <c r="MWP192" s="17"/>
      <c r="MWQ192" s="17"/>
      <c r="MWR192" s="17"/>
      <c r="MWS192" s="17"/>
      <c r="MWT192" s="17"/>
      <c r="MWU192" s="17"/>
      <c r="MWV192" s="17"/>
      <c r="MWW192" s="17"/>
      <c r="MWX192" s="17"/>
      <c r="MWY192" s="17"/>
      <c r="MWZ192" s="17"/>
      <c r="MXA192" s="17"/>
      <c r="MXB192" s="17"/>
      <c r="MXC192" s="17"/>
      <c r="MXD192" s="17"/>
      <c r="MXE192" s="17"/>
      <c r="MXF192" s="17"/>
      <c r="MXG192" s="17"/>
      <c r="MXH192" s="17"/>
      <c r="MXI192" s="17"/>
      <c r="MXJ192" s="17"/>
      <c r="MXK192" s="17"/>
      <c r="MXL192" s="17"/>
      <c r="MXM192" s="17"/>
      <c r="MXN192" s="17"/>
      <c r="MXO192" s="17"/>
      <c r="MXP192" s="17"/>
      <c r="MXQ192" s="17"/>
      <c r="MXR192" s="17"/>
      <c r="MXS192" s="17"/>
      <c r="MXT192" s="17"/>
      <c r="MXU192" s="17"/>
      <c r="MXV192" s="17"/>
      <c r="MXW192" s="17"/>
      <c r="MXX192" s="17"/>
      <c r="MXY192" s="17"/>
      <c r="MXZ192" s="17"/>
      <c r="MYA192" s="17"/>
      <c r="MYB192" s="17"/>
      <c r="MYC192" s="17"/>
      <c r="MYD192" s="17"/>
      <c r="MYE192" s="17"/>
      <c r="MYF192" s="17"/>
      <c r="MYG192" s="17"/>
      <c r="MYH192" s="17"/>
      <c r="MYI192" s="17"/>
      <c r="MYJ192" s="17"/>
      <c r="MYK192" s="17"/>
      <c r="MYL192" s="17"/>
      <c r="MYM192" s="17"/>
      <c r="MYN192" s="17"/>
      <c r="MYO192" s="17"/>
      <c r="MYP192" s="17"/>
      <c r="MYQ192" s="17"/>
      <c r="MYR192" s="17"/>
      <c r="MYS192" s="17"/>
      <c r="MYT192" s="17"/>
      <c r="MYU192" s="17"/>
      <c r="MYV192" s="17"/>
      <c r="MYW192" s="17"/>
      <c r="MYX192" s="17"/>
      <c r="MYY192" s="17"/>
      <c r="MYZ192" s="17"/>
      <c r="MZA192" s="17"/>
      <c r="MZB192" s="17"/>
      <c r="MZC192" s="17"/>
      <c r="MZD192" s="17"/>
      <c r="MZE192" s="17"/>
      <c r="MZF192" s="17"/>
      <c r="MZG192" s="17"/>
      <c r="MZH192" s="17"/>
      <c r="MZI192" s="17"/>
      <c r="MZJ192" s="17"/>
      <c r="MZK192" s="17"/>
      <c r="MZL192" s="17"/>
      <c r="MZM192" s="17"/>
      <c r="MZN192" s="17"/>
      <c r="MZO192" s="17"/>
      <c r="MZP192" s="17"/>
      <c r="MZQ192" s="17"/>
      <c r="MZR192" s="17"/>
      <c r="MZS192" s="17"/>
      <c r="MZT192" s="17"/>
      <c r="MZU192" s="17"/>
      <c r="MZV192" s="17"/>
      <c r="MZW192" s="17"/>
      <c r="MZX192" s="17"/>
      <c r="MZY192" s="17"/>
      <c r="MZZ192" s="17"/>
      <c r="NAA192" s="17"/>
      <c r="NAB192" s="17"/>
      <c r="NAC192" s="17"/>
      <c r="NAD192" s="17"/>
      <c r="NAE192" s="17"/>
      <c r="NAF192" s="17"/>
      <c r="NAG192" s="17"/>
      <c r="NAH192" s="17"/>
      <c r="NAI192" s="17"/>
      <c r="NAJ192" s="17"/>
      <c r="NAK192" s="17"/>
      <c r="NAL192" s="17"/>
      <c r="NAM192" s="17"/>
      <c r="NAN192" s="17"/>
      <c r="NAO192" s="17"/>
      <c r="NAP192" s="17"/>
      <c r="NAQ192" s="17"/>
      <c r="NAR192" s="17"/>
      <c r="NAS192" s="17"/>
      <c r="NAT192" s="17"/>
      <c r="NAU192" s="17"/>
      <c r="NAV192" s="17"/>
      <c r="NAW192" s="17"/>
      <c r="NAX192" s="17"/>
      <c r="NAY192" s="17"/>
      <c r="NAZ192" s="17"/>
      <c r="NBA192" s="17"/>
      <c r="NBB192" s="17"/>
      <c r="NBC192" s="17"/>
      <c r="NBD192" s="17"/>
      <c r="NBE192" s="17"/>
      <c r="NBF192" s="17"/>
      <c r="NBG192" s="17"/>
      <c r="NBH192" s="17"/>
      <c r="NBI192" s="17"/>
      <c r="NBJ192" s="17"/>
      <c r="NBK192" s="17"/>
      <c r="NBL192" s="17"/>
      <c r="NBM192" s="17"/>
      <c r="NBN192" s="17"/>
      <c r="NBO192" s="17"/>
      <c r="NBP192" s="17"/>
      <c r="NBQ192" s="17"/>
      <c r="NBR192" s="17"/>
      <c r="NBS192" s="17"/>
      <c r="NBT192" s="17"/>
      <c r="NBU192" s="17"/>
      <c r="NBV192" s="17"/>
      <c r="NBW192" s="17"/>
      <c r="NBX192" s="17"/>
      <c r="NBY192" s="17"/>
      <c r="NBZ192" s="17"/>
      <c r="NCA192" s="17"/>
      <c r="NCB192" s="17"/>
      <c r="NCC192" s="17"/>
      <c r="NCD192" s="17"/>
      <c r="NCE192" s="17"/>
      <c r="NCF192" s="17"/>
      <c r="NCG192" s="17"/>
      <c r="NCH192" s="17"/>
      <c r="NCI192" s="17"/>
      <c r="NCJ192" s="17"/>
      <c r="NCK192" s="17"/>
      <c r="NCL192" s="17"/>
      <c r="NCM192" s="17"/>
      <c r="NCN192" s="17"/>
      <c r="NCO192" s="17"/>
      <c r="NCP192" s="17"/>
      <c r="NCQ192" s="17"/>
      <c r="NCR192" s="17"/>
      <c r="NCS192" s="17"/>
      <c r="NCT192" s="17"/>
      <c r="NCU192" s="17"/>
      <c r="NCV192" s="17"/>
      <c r="NCW192" s="17"/>
      <c r="NCX192" s="17"/>
      <c r="NCY192" s="17"/>
      <c r="NCZ192" s="17"/>
      <c r="NDA192" s="17"/>
      <c r="NDB192" s="17"/>
      <c r="NDC192" s="17"/>
      <c r="NDD192" s="17"/>
      <c r="NDE192" s="17"/>
      <c r="NDF192" s="17"/>
      <c r="NDG192" s="17"/>
      <c r="NDH192" s="17"/>
      <c r="NDI192" s="17"/>
      <c r="NDJ192" s="17"/>
      <c r="NDK192" s="17"/>
      <c r="NDL192" s="17"/>
      <c r="NDM192" s="17"/>
      <c r="NDN192" s="17"/>
      <c r="NDO192" s="17"/>
      <c r="NDP192" s="17"/>
      <c r="NDQ192" s="17"/>
      <c r="NDR192" s="17"/>
      <c r="NDS192" s="17"/>
      <c r="NDT192" s="17"/>
      <c r="NDU192" s="17"/>
      <c r="NDV192" s="17"/>
      <c r="NDW192" s="17"/>
      <c r="NDX192" s="17"/>
      <c r="NDY192" s="17"/>
      <c r="NDZ192" s="17"/>
      <c r="NEA192" s="17"/>
      <c r="NEB192" s="17"/>
      <c r="NEC192" s="17"/>
      <c r="NED192" s="17"/>
      <c r="NEE192" s="17"/>
      <c r="NEF192" s="17"/>
      <c r="NEG192" s="17"/>
      <c r="NEH192" s="17"/>
      <c r="NEI192" s="17"/>
      <c r="NEJ192" s="17"/>
      <c r="NEK192" s="17"/>
      <c r="NEL192" s="17"/>
      <c r="NEM192" s="17"/>
      <c r="NEN192" s="17"/>
      <c r="NEO192" s="17"/>
      <c r="NEP192" s="17"/>
      <c r="NEQ192" s="17"/>
      <c r="NER192" s="17"/>
      <c r="NES192" s="17"/>
      <c r="NET192" s="17"/>
      <c r="NEU192" s="17"/>
      <c r="NEV192" s="17"/>
      <c r="NEW192" s="17"/>
      <c r="NEX192" s="17"/>
      <c r="NEY192" s="17"/>
      <c r="NEZ192" s="17"/>
      <c r="NFA192" s="17"/>
      <c r="NFB192" s="17"/>
      <c r="NFC192" s="17"/>
      <c r="NFD192" s="17"/>
      <c r="NFE192" s="17"/>
      <c r="NFF192" s="17"/>
      <c r="NFG192" s="17"/>
      <c r="NFH192" s="17"/>
      <c r="NFI192" s="17"/>
      <c r="NFJ192" s="17"/>
      <c r="NFK192" s="17"/>
      <c r="NFL192" s="17"/>
      <c r="NFM192" s="17"/>
      <c r="NFN192" s="17"/>
      <c r="NFO192" s="17"/>
      <c r="NFP192" s="17"/>
      <c r="NFQ192" s="17"/>
      <c r="NFR192" s="17"/>
      <c r="NFS192" s="17"/>
      <c r="NFT192" s="17"/>
      <c r="NFU192" s="17"/>
      <c r="NFV192" s="17"/>
      <c r="NFW192" s="17"/>
      <c r="NFX192" s="17"/>
      <c r="NFY192" s="17"/>
      <c r="NFZ192" s="17"/>
      <c r="NGA192" s="17"/>
      <c r="NGB192" s="17"/>
      <c r="NGC192" s="17"/>
      <c r="NGD192" s="17"/>
      <c r="NGE192" s="17"/>
      <c r="NGF192" s="17"/>
      <c r="NGG192" s="17"/>
      <c r="NGH192" s="17"/>
      <c r="NGI192" s="17"/>
      <c r="NGJ192" s="17"/>
      <c r="NGK192" s="17"/>
      <c r="NGL192" s="17"/>
      <c r="NGM192" s="17"/>
      <c r="NGN192" s="17"/>
      <c r="NGO192" s="17"/>
      <c r="NGP192" s="17"/>
      <c r="NGQ192" s="17"/>
      <c r="NGR192" s="17"/>
      <c r="NGS192" s="17"/>
      <c r="NGT192" s="17"/>
      <c r="NGU192" s="17"/>
      <c r="NGV192" s="17"/>
      <c r="NGW192" s="17"/>
      <c r="NGX192" s="17"/>
      <c r="NGY192" s="17"/>
      <c r="NGZ192" s="17"/>
      <c r="NHA192" s="17"/>
      <c r="NHB192" s="17"/>
      <c r="NHC192" s="17"/>
      <c r="NHD192" s="17"/>
      <c r="NHE192" s="17"/>
      <c r="NHF192" s="17"/>
      <c r="NHG192" s="17"/>
      <c r="NHH192" s="17"/>
      <c r="NHI192" s="17"/>
      <c r="NHJ192" s="17"/>
      <c r="NHK192" s="17"/>
      <c r="NHL192" s="17"/>
      <c r="NHM192" s="17"/>
      <c r="NHN192" s="17"/>
      <c r="NHO192" s="17"/>
      <c r="NHP192" s="17"/>
      <c r="NHQ192" s="17"/>
      <c r="NHR192" s="17"/>
      <c r="NHS192" s="17"/>
      <c r="NHT192" s="17"/>
      <c r="NHU192" s="17"/>
      <c r="NHV192" s="17"/>
      <c r="NHW192" s="17"/>
      <c r="NHX192" s="17"/>
      <c r="NHY192" s="17"/>
      <c r="NHZ192" s="17"/>
      <c r="NIA192" s="17"/>
      <c r="NIB192" s="17"/>
      <c r="NIC192" s="17"/>
      <c r="NID192" s="17"/>
      <c r="NIE192" s="17"/>
      <c r="NIF192" s="17"/>
      <c r="NIG192" s="17"/>
      <c r="NIH192" s="17"/>
      <c r="NII192" s="17"/>
      <c r="NIJ192" s="17"/>
      <c r="NIK192" s="17"/>
      <c r="NIL192" s="17"/>
      <c r="NIM192" s="17"/>
      <c r="NIN192" s="17"/>
      <c r="NIO192" s="17"/>
      <c r="NIP192" s="17"/>
      <c r="NIQ192" s="17"/>
      <c r="NIR192" s="17"/>
      <c r="NIS192" s="17"/>
      <c r="NIT192" s="17"/>
      <c r="NIU192" s="17"/>
      <c r="NIV192" s="17"/>
      <c r="NIW192" s="17"/>
      <c r="NIX192" s="17"/>
      <c r="NIY192" s="17"/>
      <c r="NIZ192" s="17"/>
      <c r="NJA192" s="17"/>
      <c r="NJB192" s="17"/>
      <c r="NJC192" s="17"/>
      <c r="NJD192" s="17"/>
      <c r="NJE192" s="17"/>
      <c r="NJF192" s="17"/>
      <c r="NJG192" s="17"/>
      <c r="NJH192" s="17"/>
      <c r="NJI192" s="17"/>
      <c r="NJJ192" s="17"/>
      <c r="NJK192" s="17"/>
      <c r="NJL192" s="17"/>
      <c r="NJM192" s="17"/>
      <c r="NJN192" s="17"/>
      <c r="NJO192" s="17"/>
      <c r="NJP192" s="17"/>
      <c r="NJQ192" s="17"/>
      <c r="NJR192" s="17"/>
      <c r="NJS192" s="17"/>
      <c r="NJT192" s="17"/>
      <c r="NJU192" s="17"/>
      <c r="NJV192" s="17"/>
      <c r="NJW192" s="17"/>
      <c r="NJX192" s="17"/>
      <c r="NJY192" s="17"/>
      <c r="NJZ192" s="17"/>
      <c r="NKA192" s="17"/>
      <c r="NKB192" s="17"/>
      <c r="NKC192" s="17"/>
      <c r="NKD192" s="17"/>
      <c r="NKE192" s="17"/>
      <c r="NKF192" s="17"/>
      <c r="NKG192" s="17"/>
      <c r="NKH192" s="17"/>
      <c r="NKI192" s="17"/>
      <c r="NKJ192" s="17"/>
      <c r="NKK192" s="17"/>
      <c r="NKL192" s="17"/>
      <c r="NKM192" s="17"/>
      <c r="NKN192" s="17"/>
      <c r="NKO192" s="17"/>
      <c r="NKP192" s="17"/>
      <c r="NKQ192" s="17"/>
      <c r="NKR192" s="17"/>
      <c r="NKS192" s="17"/>
      <c r="NKT192" s="17"/>
      <c r="NKU192" s="17"/>
      <c r="NKV192" s="17"/>
      <c r="NKW192" s="17"/>
      <c r="NKX192" s="17"/>
      <c r="NKY192" s="17"/>
      <c r="NKZ192" s="17"/>
      <c r="NLA192" s="17"/>
      <c r="NLB192" s="17"/>
      <c r="NLC192" s="17"/>
      <c r="NLD192" s="17"/>
      <c r="NLE192" s="17"/>
      <c r="NLF192" s="17"/>
      <c r="NLG192" s="17"/>
      <c r="NLH192" s="17"/>
      <c r="NLI192" s="17"/>
      <c r="NLJ192" s="17"/>
      <c r="NLK192" s="17"/>
      <c r="NLL192" s="17"/>
      <c r="NLM192" s="17"/>
      <c r="NLN192" s="17"/>
      <c r="NLO192" s="17"/>
      <c r="NLP192" s="17"/>
      <c r="NLQ192" s="17"/>
      <c r="NLR192" s="17"/>
      <c r="NLS192" s="17"/>
      <c r="NLT192" s="17"/>
      <c r="NLU192" s="17"/>
      <c r="NLV192" s="17"/>
      <c r="NLW192" s="17"/>
      <c r="NLX192" s="17"/>
      <c r="NLY192" s="17"/>
      <c r="NLZ192" s="17"/>
      <c r="NMA192" s="17"/>
      <c r="NMB192" s="17"/>
      <c r="NMC192" s="17"/>
      <c r="NMD192" s="17"/>
      <c r="NME192" s="17"/>
      <c r="NMF192" s="17"/>
      <c r="NMG192" s="17"/>
      <c r="NMH192" s="17"/>
      <c r="NMI192" s="17"/>
      <c r="NMJ192" s="17"/>
      <c r="NMK192" s="17"/>
      <c r="NML192" s="17"/>
      <c r="NMM192" s="17"/>
      <c r="NMN192" s="17"/>
      <c r="NMO192" s="17"/>
      <c r="NMP192" s="17"/>
      <c r="NMQ192" s="17"/>
      <c r="NMR192" s="17"/>
      <c r="NMS192" s="17"/>
      <c r="NMT192" s="17"/>
      <c r="NMU192" s="17"/>
      <c r="NMV192" s="17"/>
      <c r="NMW192" s="17"/>
      <c r="NMX192" s="17"/>
      <c r="NMY192" s="17"/>
      <c r="NMZ192" s="17"/>
      <c r="NNA192" s="17"/>
      <c r="NNB192" s="17"/>
      <c r="NNC192" s="17"/>
      <c r="NND192" s="17"/>
      <c r="NNE192" s="17"/>
      <c r="NNF192" s="17"/>
      <c r="NNG192" s="17"/>
      <c r="NNH192" s="17"/>
      <c r="NNI192" s="17"/>
      <c r="NNJ192" s="17"/>
      <c r="NNK192" s="17"/>
      <c r="NNL192" s="17"/>
      <c r="NNM192" s="17"/>
      <c r="NNN192" s="17"/>
      <c r="NNO192" s="17"/>
      <c r="NNP192" s="17"/>
      <c r="NNQ192" s="17"/>
      <c r="NNR192" s="17"/>
      <c r="NNS192" s="17"/>
      <c r="NNT192" s="17"/>
      <c r="NNU192" s="17"/>
      <c r="NNV192" s="17"/>
      <c r="NNW192" s="17"/>
      <c r="NNX192" s="17"/>
      <c r="NNY192" s="17"/>
      <c r="NNZ192" s="17"/>
      <c r="NOA192" s="17"/>
      <c r="NOB192" s="17"/>
      <c r="NOC192" s="17"/>
      <c r="NOD192" s="17"/>
      <c r="NOE192" s="17"/>
      <c r="NOF192" s="17"/>
      <c r="NOG192" s="17"/>
      <c r="NOH192" s="17"/>
      <c r="NOI192" s="17"/>
      <c r="NOJ192" s="17"/>
      <c r="NOK192" s="17"/>
      <c r="NOL192" s="17"/>
      <c r="NOM192" s="17"/>
      <c r="NON192" s="17"/>
      <c r="NOO192" s="17"/>
      <c r="NOP192" s="17"/>
      <c r="NOQ192" s="17"/>
      <c r="NOR192" s="17"/>
      <c r="NOS192" s="17"/>
      <c r="NOT192" s="17"/>
      <c r="NOU192" s="17"/>
      <c r="NOV192" s="17"/>
      <c r="NOW192" s="17"/>
      <c r="NOX192" s="17"/>
      <c r="NOY192" s="17"/>
      <c r="NOZ192" s="17"/>
      <c r="NPA192" s="17"/>
      <c r="NPB192" s="17"/>
      <c r="NPC192" s="17"/>
      <c r="NPD192" s="17"/>
      <c r="NPE192" s="17"/>
      <c r="NPF192" s="17"/>
      <c r="NPG192" s="17"/>
      <c r="NPH192" s="17"/>
      <c r="NPI192" s="17"/>
      <c r="NPJ192" s="17"/>
      <c r="NPK192" s="17"/>
      <c r="NPL192" s="17"/>
      <c r="NPM192" s="17"/>
      <c r="NPN192" s="17"/>
      <c r="NPO192" s="17"/>
      <c r="NPP192" s="17"/>
      <c r="NPQ192" s="17"/>
      <c r="NPR192" s="17"/>
      <c r="NPS192" s="17"/>
      <c r="NPT192" s="17"/>
      <c r="NPU192" s="17"/>
      <c r="NPV192" s="17"/>
      <c r="NPW192" s="17"/>
      <c r="NPX192" s="17"/>
      <c r="NPY192" s="17"/>
      <c r="NPZ192" s="17"/>
      <c r="NQA192" s="17"/>
      <c r="NQB192" s="17"/>
      <c r="NQC192" s="17"/>
      <c r="NQD192" s="17"/>
      <c r="NQE192" s="17"/>
      <c r="NQF192" s="17"/>
      <c r="NQG192" s="17"/>
      <c r="NQH192" s="17"/>
      <c r="NQI192" s="17"/>
      <c r="NQJ192" s="17"/>
      <c r="NQK192" s="17"/>
      <c r="NQL192" s="17"/>
      <c r="NQM192" s="17"/>
      <c r="NQN192" s="17"/>
      <c r="NQO192" s="17"/>
      <c r="NQP192" s="17"/>
      <c r="NQQ192" s="17"/>
      <c r="NQR192" s="17"/>
      <c r="NQS192" s="17"/>
      <c r="NQT192" s="17"/>
      <c r="NQU192" s="17"/>
      <c r="NQV192" s="17"/>
      <c r="NQW192" s="17"/>
      <c r="NQX192" s="17"/>
      <c r="NQY192" s="17"/>
      <c r="NQZ192" s="17"/>
      <c r="NRA192" s="17"/>
      <c r="NRB192" s="17"/>
      <c r="NRC192" s="17"/>
      <c r="NRD192" s="17"/>
      <c r="NRE192" s="17"/>
      <c r="NRF192" s="17"/>
      <c r="NRG192" s="17"/>
      <c r="NRH192" s="17"/>
      <c r="NRI192" s="17"/>
      <c r="NRJ192" s="17"/>
      <c r="NRK192" s="17"/>
      <c r="NRL192" s="17"/>
      <c r="NRM192" s="17"/>
      <c r="NRN192" s="17"/>
      <c r="NRO192" s="17"/>
      <c r="NRP192" s="17"/>
      <c r="NRQ192" s="17"/>
      <c r="NRR192" s="17"/>
      <c r="NRS192" s="17"/>
      <c r="NRT192" s="17"/>
      <c r="NRU192" s="17"/>
      <c r="NRV192" s="17"/>
      <c r="NRW192" s="17"/>
      <c r="NRX192" s="17"/>
      <c r="NRY192" s="17"/>
      <c r="NRZ192" s="17"/>
      <c r="NSA192" s="17"/>
      <c r="NSB192" s="17"/>
      <c r="NSC192" s="17"/>
      <c r="NSD192" s="17"/>
      <c r="NSE192" s="17"/>
      <c r="NSF192" s="17"/>
      <c r="NSG192" s="17"/>
      <c r="NSH192" s="17"/>
      <c r="NSI192" s="17"/>
      <c r="NSJ192" s="17"/>
      <c r="NSK192" s="17"/>
      <c r="NSL192" s="17"/>
      <c r="NSM192" s="17"/>
      <c r="NSN192" s="17"/>
      <c r="NSO192" s="17"/>
      <c r="NSP192" s="17"/>
      <c r="NSQ192" s="17"/>
      <c r="NSR192" s="17"/>
      <c r="NSS192" s="17"/>
      <c r="NST192" s="17"/>
      <c r="NSU192" s="17"/>
      <c r="NSV192" s="17"/>
      <c r="NSW192" s="17"/>
      <c r="NSX192" s="17"/>
      <c r="NSY192" s="17"/>
      <c r="NSZ192" s="17"/>
      <c r="NTA192" s="17"/>
      <c r="NTB192" s="17"/>
      <c r="NTC192" s="17"/>
      <c r="NTD192" s="17"/>
      <c r="NTE192" s="17"/>
      <c r="NTF192" s="17"/>
      <c r="NTG192" s="17"/>
      <c r="NTH192" s="17"/>
      <c r="NTI192" s="17"/>
      <c r="NTJ192" s="17"/>
      <c r="NTK192" s="17"/>
      <c r="NTL192" s="17"/>
      <c r="NTM192" s="17"/>
      <c r="NTN192" s="17"/>
      <c r="NTO192" s="17"/>
      <c r="NTP192" s="17"/>
      <c r="NTQ192" s="17"/>
      <c r="NTR192" s="17"/>
      <c r="NTS192" s="17"/>
      <c r="NTT192" s="17"/>
      <c r="NTU192" s="17"/>
      <c r="NTV192" s="17"/>
      <c r="NTW192" s="17"/>
      <c r="NTX192" s="17"/>
      <c r="NTY192" s="17"/>
      <c r="NTZ192" s="17"/>
      <c r="NUA192" s="17"/>
      <c r="NUB192" s="17"/>
      <c r="NUC192" s="17"/>
      <c r="NUD192" s="17"/>
      <c r="NUE192" s="17"/>
      <c r="NUF192" s="17"/>
      <c r="NUG192" s="17"/>
      <c r="NUH192" s="17"/>
      <c r="NUI192" s="17"/>
      <c r="NUJ192" s="17"/>
      <c r="NUK192" s="17"/>
      <c r="NUL192" s="17"/>
      <c r="NUM192" s="17"/>
      <c r="NUN192" s="17"/>
      <c r="NUO192" s="17"/>
      <c r="NUP192" s="17"/>
      <c r="NUQ192" s="17"/>
      <c r="NUR192" s="17"/>
      <c r="NUS192" s="17"/>
      <c r="NUT192" s="17"/>
      <c r="NUU192" s="17"/>
      <c r="NUV192" s="17"/>
      <c r="NUW192" s="17"/>
      <c r="NUX192" s="17"/>
      <c r="NUY192" s="17"/>
      <c r="NUZ192" s="17"/>
      <c r="NVA192" s="17"/>
      <c r="NVB192" s="17"/>
      <c r="NVC192" s="17"/>
      <c r="NVD192" s="17"/>
      <c r="NVE192" s="17"/>
      <c r="NVF192" s="17"/>
      <c r="NVG192" s="17"/>
      <c r="NVH192" s="17"/>
      <c r="NVI192" s="17"/>
      <c r="NVJ192" s="17"/>
      <c r="NVK192" s="17"/>
      <c r="NVL192" s="17"/>
      <c r="NVM192" s="17"/>
      <c r="NVN192" s="17"/>
      <c r="NVO192" s="17"/>
      <c r="NVP192" s="17"/>
      <c r="NVQ192" s="17"/>
      <c r="NVR192" s="17"/>
      <c r="NVS192" s="17"/>
      <c r="NVT192" s="17"/>
      <c r="NVU192" s="17"/>
      <c r="NVV192" s="17"/>
      <c r="NVW192" s="17"/>
      <c r="NVX192" s="17"/>
      <c r="NVY192" s="17"/>
      <c r="NVZ192" s="17"/>
      <c r="NWA192" s="17"/>
      <c r="NWB192" s="17"/>
      <c r="NWC192" s="17"/>
      <c r="NWD192" s="17"/>
      <c r="NWE192" s="17"/>
      <c r="NWF192" s="17"/>
      <c r="NWG192" s="17"/>
      <c r="NWH192" s="17"/>
      <c r="NWI192" s="17"/>
      <c r="NWJ192" s="17"/>
      <c r="NWK192" s="17"/>
      <c r="NWL192" s="17"/>
      <c r="NWM192" s="17"/>
      <c r="NWN192" s="17"/>
      <c r="NWO192" s="17"/>
      <c r="NWP192" s="17"/>
      <c r="NWQ192" s="17"/>
      <c r="NWR192" s="17"/>
      <c r="NWS192" s="17"/>
      <c r="NWT192" s="17"/>
      <c r="NWU192" s="17"/>
      <c r="NWV192" s="17"/>
      <c r="NWW192" s="17"/>
      <c r="NWX192" s="17"/>
      <c r="NWY192" s="17"/>
      <c r="NWZ192" s="17"/>
      <c r="NXA192" s="17"/>
      <c r="NXB192" s="17"/>
      <c r="NXC192" s="17"/>
      <c r="NXD192" s="17"/>
      <c r="NXE192" s="17"/>
      <c r="NXF192" s="17"/>
      <c r="NXG192" s="17"/>
      <c r="NXH192" s="17"/>
      <c r="NXI192" s="17"/>
      <c r="NXJ192" s="17"/>
      <c r="NXK192" s="17"/>
      <c r="NXL192" s="17"/>
      <c r="NXM192" s="17"/>
      <c r="NXN192" s="17"/>
      <c r="NXO192" s="17"/>
      <c r="NXP192" s="17"/>
      <c r="NXQ192" s="17"/>
      <c r="NXR192" s="17"/>
      <c r="NXS192" s="17"/>
      <c r="NXT192" s="17"/>
      <c r="NXU192" s="17"/>
      <c r="NXV192" s="17"/>
      <c r="NXW192" s="17"/>
      <c r="NXX192" s="17"/>
      <c r="NXY192" s="17"/>
      <c r="NXZ192" s="17"/>
      <c r="NYA192" s="17"/>
      <c r="NYB192" s="17"/>
      <c r="NYC192" s="17"/>
      <c r="NYD192" s="17"/>
      <c r="NYE192" s="17"/>
      <c r="NYF192" s="17"/>
      <c r="NYG192" s="17"/>
      <c r="NYH192" s="17"/>
      <c r="NYI192" s="17"/>
      <c r="NYJ192" s="17"/>
      <c r="NYK192" s="17"/>
      <c r="NYL192" s="17"/>
      <c r="NYM192" s="17"/>
      <c r="NYN192" s="17"/>
      <c r="NYO192" s="17"/>
      <c r="NYP192" s="17"/>
      <c r="NYQ192" s="17"/>
      <c r="NYR192" s="17"/>
      <c r="NYS192" s="17"/>
      <c r="NYT192" s="17"/>
      <c r="NYU192" s="17"/>
      <c r="NYV192" s="17"/>
      <c r="NYW192" s="17"/>
      <c r="NYX192" s="17"/>
      <c r="NYY192" s="17"/>
      <c r="NYZ192" s="17"/>
      <c r="NZA192" s="17"/>
      <c r="NZB192" s="17"/>
      <c r="NZC192" s="17"/>
      <c r="NZD192" s="17"/>
      <c r="NZE192" s="17"/>
      <c r="NZF192" s="17"/>
      <c r="NZG192" s="17"/>
      <c r="NZH192" s="17"/>
      <c r="NZI192" s="17"/>
      <c r="NZJ192" s="17"/>
      <c r="NZK192" s="17"/>
      <c r="NZL192" s="17"/>
      <c r="NZM192" s="17"/>
      <c r="NZN192" s="17"/>
      <c r="NZO192" s="17"/>
      <c r="NZP192" s="17"/>
      <c r="NZQ192" s="17"/>
      <c r="NZR192" s="17"/>
      <c r="NZS192" s="17"/>
      <c r="NZT192" s="17"/>
      <c r="NZU192" s="17"/>
      <c r="NZV192" s="17"/>
      <c r="NZW192" s="17"/>
      <c r="NZX192" s="17"/>
      <c r="NZY192" s="17"/>
      <c r="NZZ192" s="17"/>
      <c r="OAA192" s="17"/>
      <c r="OAB192" s="17"/>
      <c r="OAC192" s="17"/>
      <c r="OAD192" s="17"/>
      <c r="OAE192" s="17"/>
      <c r="OAF192" s="17"/>
      <c r="OAG192" s="17"/>
      <c r="OAH192" s="17"/>
      <c r="OAI192" s="17"/>
      <c r="OAJ192" s="17"/>
      <c r="OAK192" s="17"/>
      <c r="OAL192" s="17"/>
      <c r="OAM192" s="17"/>
      <c r="OAN192" s="17"/>
      <c r="OAO192" s="17"/>
      <c r="OAP192" s="17"/>
      <c r="OAQ192" s="17"/>
      <c r="OAR192" s="17"/>
      <c r="OAS192" s="17"/>
      <c r="OAT192" s="17"/>
      <c r="OAU192" s="17"/>
      <c r="OAV192" s="17"/>
      <c r="OAW192" s="17"/>
      <c r="OAX192" s="17"/>
      <c r="OAY192" s="17"/>
      <c r="OAZ192" s="17"/>
      <c r="OBA192" s="17"/>
      <c r="OBB192" s="17"/>
      <c r="OBC192" s="17"/>
      <c r="OBD192" s="17"/>
      <c r="OBE192" s="17"/>
      <c r="OBF192" s="17"/>
      <c r="OBG192" s="17"/>
      <c r="OBH192" s="17"/>
      <c r="OBI192" s="17"/>
      <c r="OBJ192" s="17"/>
      <c r="OBK192" s="17"/>
      <c r="OBL192" s="17"/>
      <c r="OBM192" s="17"/>
      <c r="OBN192" s="17"/>
      <c r="OBO192" s="17"/>
      <c r="OBP192" s="17"/>
      <c r="OBQ192" s="17"/>
      <c r="OBR192" s="17"/>
      <c r="OBS192" s="17"/>
      <c r="OBT192" s="17"/>
      <c r="OBU192" s="17"/>
      <c r="OBV192" s="17"/>
      <c r="OBW192" s="17"/>
      <c r="OBX192" s="17"/>
      <c r="OBY192" s="17"/>
      <c r="OBZ192" s="17"/>
      <c r="OCA192" s="17"/>
      <c r="OCB192" s="17"/>
      <c r="OCC192" s="17"/>
      <c r="OCD192" s="17"/>
      <c r="OCE192" s="17"/>
      <c r="OCF192" s="17"/>
      <c r="OCG192" s="17"/>
      <c r="OCH192" s="17"/>
      <c r="OCI192" s="17"/>
      <c r="OCJ192" s="17"/>
      <c r="OCK192" s="17"/>
      <c r="OCL192" s="17"/>
      <c r="OCM192" s="17"/>
      <c r="OCN192" s="17"/>
      <c r="OCO192" s="17"/>
      <c r="OCP192" s="17"/>
      <c r="OCQ192" s="17"/>
      <c r="OCR192" s="17"/>
      <c r="OCS192" s="17"/>
      <c r="OCT192" s="17"/>
      <c r="OCU192" s="17"/>
      <c r="OCV192" s="17"/>
      <c r="OCW192" s="17"/>
      <c r="OCX192" s="17"/>
      <c r="OCY192" s="17"/>
      <c r="OCZ192" s="17"/>
      <c r="ODA192" s="17"/>
      <c r="ODB192" s="17"/>
      <c r="ODC192" s="17"/>
      <c r="ODD192" s="17"/>
      <c r="ODE192" s="17"/>
      <c r="ODF192" s="17"/>
      <c r="ODG192" s="17"/>
      <c r="ODH192" s="17"/>
      <c r="ODI192" s="17"/>
      <c r="ODJ192" s="17"/>
      <c r="ODK192" s="17"/>
      <c r="ODL192" s="17"/>
      <c r="ODM192" s="17"/>
      <c r="ODN192" s="17"/>
      <c r="ODO192" s="17"/>
      <c r="ODP192" s="17"/>
      <c r="ODQ192" s="17"/>
      <c r="ODR192" s="17"/>
      <c r="ODS192" s="17"/>
      <c r="ODT192" s="17"/>
      <c r="ODU192" s="17"/>
      <c r="ODV192" s="17"/>
      <c r="ODW192" s="17"/>
      <c r="ODX192" s="17"/>
      <c r="ODY192" s="17"/>
      <c r="ODZ192" s="17"/>
      <c r="OEA192" s="17"/>
      <c r="OEB192" s="17"/>
      <c r="OEC192" s="17"/>
      <c r="OED192" s="17"/>
      <c r="OEE192" s="17"/>
      <c r="OEF192" s="17"/>
      <c r="OEG192" s="17"/>
      <c r="OEH192" s="17"/>
      <c r="OEI192" s="17"/>
      <c r="OEJ192" s="17"/>
      <c r="OEK192" s="17"/>
      <c r="OEL192" s="17"/>
      <c r="OEM192" s="17"/>
      <c r="OEN192" s="17"/>
      <c r="OEO192" s="17"/>
      <c r="OEP192" s="17"/>
      <c r="OEQ192" s="17"/>
      <c r="OER192" s="17"/>
      <c r="OES192" s="17"/>
      <c r="OET192" s="17"/>
      <c r="OEU192" s="17"/>
      <c r="OEV192" s="17"/>
      <c r="OEW192" s="17"/>
      <c r="OEX192" s="17"/>
      <c r="OEY192" s="17"/>
      <c r="OEZ192" s="17"/>
      <c r="OFA192" s="17"/>
      <c r="OFB192" s="17"/>
      <c r="OFC192" s="17"/>
      <c r="OFD192" s="17"/>
      <c r="OFE192" s="17"/>
      <c r="OFF192" s="17"/>
      <c r="OFG192" s="17"/>
      <c r="OFH192" s="17"/>
      <c r="OFI192" s="17"/>
      <c r="OFJ192" s="17"/>
      <c r="OFK192" s="17"/>
      <c r="OFL192" s="17"/>
      <c r="OFM192" s="17"/>
      <c r="OFN192" s="17"/>
      <c r="OFO192" s="17"/>
      <c r="OFP192" s="17"/>
      <c r="OFQ192" s="17"/>
      <c r="OFR192" s="17"/>
      <c r="OFS192" s="17"/>
      <c r="OFT192" s="17"/>
      <c r="OFU192" s="17"/>
      <c r="OFV192" s="17"/>
      <c r="OFW192" s="17"/>
      <c r="OFX192" s="17"/>
      <c r="OFY192" s="17"/>
      <c r="OFZ192" s="17"/>
      <c r="OGA192" s="17"/>
      <c r="OGB192" s="17"/>
      <c r="OGC192" s="17"/>
      <c r="OGD192" s="17"/>
      <c r="OGE192" s="17"/>
      <c r="OGF192" s="17"/>
      <c r="OGG192" s="17"/>
      <c r="OGH192" s="17"/>
      <c r="OGI192" s="17"/>
      <c r="OGJ192" s="17"/>
      <c r="OGK192" s="17"/>
      <c r="OGL192" s="17"/>
      <c r="OGM192" s="17"/>
      <c r="OGN192" s="17"/>
      <c r="OGO192" s="17"/>
      <c r="OGP192" s="17"/>
      <c r="OGQ192" s="17"/>
      <c r="OGR192" s="17"/>
      <c r="OGS192" s="17"/>
      <c r="OGT192" s="17"/>
      <c r="OGU192" s="17"/>
      <c r="OGV192" s="17"/>
      <c r="OGW192" s="17"/>
      <c r="OGX192" s="17"/>
      <c r="OGY192" s="17"/>
      <c r="OGZ192" s="17"/>
      <c r="OHA192" s="17"/>
      <c r="OHB192" s="17"/>
      <c r="OHC192" s="17"/>
      <c r="OHD192" s="17"/>
      <c r="OHE192" s="17"/>
      <c r="OHF192" s="17"/>
      <c r="OHG192" s="17"/>
      <c r="OHH192" s="17"/>
      <c r="OHI192" s="17"/>
      <c r="OHJ192" s="17"/>
      <c r="OHK192" s="17"/>
      <c r="OHL192" s="17"/>
      <c r="OHM192" s="17"/>
      <c r="OHN192" s="17"/>
      <c r="OHO192" s="17"/>
      <c r="OHP192" s="17"/>
      <c r="OHQ192" s="17"/>
      <c r="OHR192" s="17"/>
      <c r="OHS192" s="17"/>
      <c r="OHT192" s="17"/>
      <c r="OHU192" s="17"/>
      <c r="OHV192" s="17"/>
      <c r="OHW192" s="17"/>
      <c r="OHX192" s="17"/>
      <c r="OHY192" s="17"/>
      <c r="OHZ192" s="17"/>
      <c r="OIA192" s="17"/>
      <c r="OIB192" s="17"/>
      <c r="OIC192" s="17"/>
      <c r="OID192" s="17"/>
      <c r="OIE192" s="17"/>
      <c r="OIF192" s="17"/>
      <c r="OIG192" s="17"/>
      <c r="OIH192" s="17"/>
      <c r="OII192" s="17"/>
      <c r="OIJ192" s="17"/>
      <c r="OIK192" s="17"/>
      <c r="OIL192" s="17"/>
      <c r="OIM192" s="17"/>
      <c r="OIN192" s="17"/>
      <c r="OIO192" s="17"/>
      <c r="OIP192" s="17"/>
      <c r="OIQ192" s="17"/>
      <c r="OIR192" s="17"/>
      <c r="OIS192" s="17"/>
      <c r="OIT192" s="17"/>
      <c r="OIU192" s="17"/>
      <c r="OIV192" s="17"/>
      <c r="OIW192" s="17"/>
      <c r="OIX192" s="17"/>
      <c r="OIY192" s="17"/>
      <c r="OIZ192" s="17"/>
      <c r="OJA192" s="17"/>
      <c r="OJB192" s="17"/>
      <c r="OJC192" s="17"/>
      <c r="OJD192" s="17"/>
      <c r="OJE192" s="17"/>
      <c r="OJF192" s="17"/>
      <c r="OJG192" s="17"/>
      <c r="OJH192" s="17"/>
      <c r="OJI192" s="17"/>
      <c r="OJJ192" s="17"/>
      <c r="OJK192" s="17"/>
      <c r="OJL192" s="17"/>
      <c r="OJM192" s="17"/>
      <c r="OJN192" s="17"/>
      <c r="OJO192" s="17"/>
      <c r="OJP192" s="17"/>
      <c r="OJQ192" s="17"/>
      <c r="OJR192" s="17"/>
      <c r="OJS192" s="17"/>
      <c r="OJT192" s="17"/>
      <c r="OJU192" s="17"/>
      <c r="OJV192" s="17"/>
      <c r="OJW192" s="17"/>
      <c r="OJX192" s="17"/>
      <c r="OJY192" s="17"/>
      <c r="OJZ192" s="17"/>
      <c r="OKA192" s="17"/>
      <c r="OKB192" s="17"/>
      <c r="OKC192" s="17"/>
      <c r="OKD192" s="17"/>
      <c r="OKE192" s="17"/>
      <c r="OKF192" s="17"/>
      <c r="OKG192" s="17"/>
      <c r="OKH192" s="17"/>
      <c r="OKI192" s="17"/>
      <c r="OKJ192" s="17"/>
      <c r="OKK192" s="17"/>
      <c r="OKL192" s="17"/>
      <c r="OKM192" s="17"/>
      <c r="OKN192" s="17"/>
      <c r="OKO192" s="17"/>
      <c r="OKP192" s="17"/>
      <c r="OKQ192" s="17"/>
      <c r="OKR192" s="17"/>
      <c r="OKS192" s="17"/>
      <c r="OKT192" s="17"/>
      <c r="OKU192" s="17"/>
      <c r="OKV192" s="17"/>
      <c r="OKW192" s="17"/>
      <c r="OKX192" s="17"/>
      <c r="OKY192" s="17"/>
      <c r="OKZ192" s="17"/>
      <c r="OLA192" s="17"/>
      <c r="OLB192" s="17"/>
      <c r="OLC192" s="17"/>
      <c r="OLD192" s="17"/>
      <c r="OLE192" s="17"/>
      <c r="OLF192" s="17"/>
      <c r="OLG192" s="17"/>
      <c r="OLH192" s="17"/>
      <c r="OLI192" s="17"/>
      <c r="OLJ192" s="17"/>
      <c r="OLK192" s="17"/>
      <c r="OLL192" s="17"/>
      <c r="OLM192" s="17"/>
      <c r="OLN192" s="17"/>
      <c r="OLO192" s="17"/>
      <c r="OLP192" s="17"/>
      <c r="OLQ192" s="17"/>
      <c r="OLR192" s="17"/>
      <c r="OLS192" s="17"/>
      <c r="OLT192" s="17"/>
      <c r="OLU192" s="17"/>
      <c r="OLV192" s="17"/>
      <c r="OLW192" s="17"/>
      <c r="OLX192" s="17"/>
      <c r="OLY192" s="17"/>
      <c r="OLZ192" s="17"/>
      <c r="OMA192" s="17"/>
      <c r="OMB192" s="17"/>
      <c r="OMC192" s="17"/>
      <c r="OMD192" s="17"/>
      <c r="OME192" s="17"/>
      <c r="OMF192" s="17"/>
      <c r="OMG192" s="17"/>
      <c r="OMH192" s="17"/>
      <c r="OMI192" s="17"/>
      <c r="OMJ192" s="17"/>
      <c r="OMK192" s="17"/>
      <c r="OML192" s="17"/>
      <c r="OMM192" s="17"/>
      <c r="OMN192" s="17"/>
      <c r="OMO192" s="17"/>
      <c r="OMP192" s="17"/>
      <c r="OMQ192" s="17"/>
      <c r="OMR192" s="17"/>
      <c r="OMS192" s="17"/>
      <c r="OMT192" s="17"/>
      <c r="OMU192" s="17"/>
      <c r="OMV192" s="17"/>
      <c r="OMW192" s="17"/>
      <c r="OMX192" s="17"/>
      <c r="OMY192" s="17"/>
      <c r="OMZ192" s="17"/>
      <c r="ONA192" s="17"/>
      <c r="ONB192" s="17"/>
      <c r="ONC192" s="17"/>
      <c r="OND192" s="17"/>
      <c r="ONE192" s="17"/>
      <c r="ONF192" s="17"/>
      <c r="ONG192" s="17"/>
      <c r="ONH192" s="17"/>
      <c r="ONI192" s="17"/>
      <c r="ONJ192" s="17"/>
      <c r="ONK192" s="17"/>
      <c r="ONL192" s="17"/>
      <c r="ONM192" s="17"/>
      <c r="ONN192" s="17"/>
      <c r="ONO192" s="17"/>
      <c r="ONP192" s="17"/>
      <c r="ONQ192" s="17"/>
      <c r="ONR192" s="17"/>
      <c r="ONS192" s="17"/>
      <c r="ONT192" s="17"/>
      <c r="ONU192" s="17"/>
      <c r="ONV192" s="17"/>
      <c r="ONW192" s="17"/>
      <c r="ONX192" s="17"/>
      <c r="ONY192" s="17"/>
      <c r="ONZ192" s="17"/>
      <c r="OOA192" s="17"/>
      <c r="OOB192" s="17"/>
      <c r="OOC192" s="17"/>
      <c r="OOD192" s="17"/>
      <c r="OOE192" s="17"/>
      <c r="OOF192" s="17"/>
      <c r="OOG192" s="17"/>
      <c r="OOH192" s="17"/>
      <c r="OOI192" s="17"/>
      <c r="OOJ192" s="17"/>
      <c r="OOK192" s="17"/>
      <c r="OOL192" s="17"/>
      <c r="OOM192" s="17"/>
      <c r="OON192" s="17"/>
      <c r="OOO192" s="17"/>
      <c r="OOP192" s="17"/>
      <c r="OOQ192" s="17"/>
      <c r="OOR192" s="17"/>
      <c r="OOS192" s="17"/>
      <c r="OOT192" s="17"/>
      <c r="OOU192" s="17"/>
      <c r="OOV192" s="17"/>
      <c r="OOW192" s="17"/>
      <c r="OOX192" s="17"/>
      <c r="OOY192" s="17"/>
      <c r="OOZ192" s="17"/>
      <c r="OPA192" s="17"/>
      <c r="OPB192" s="17"/>
      <c r="OPC192" s="17"/>
      <c r="OPD192" s="17"/>
      <c r="OPE192" s="17"/>
      <c r="OPF192" s="17"/>
      <c r="OPG192" s="17"/>
      <c r="OPH192" s="17"/>
      <c r="OPI192" s="17"/>
      <c r="OPJ192" s="17"/>
      <c r="OPK192" s="17"/>
      <c r="OPL192" s="17"/>
      <c r="OPM192" s="17"/>
      <c r="OPN192" s="17"/>
      <c r="OPO192" s="17"/>
      <c r="OPP192" s="17"/>
      <c r="OPQ192" s="17"/>
      <c r="OPR192" s="17"/>
      <c r="OPS192" s="17"/>
      <c r="OPT192" s="17"/>
      <c r="OPU192" s="17"/>
      <c r="OPV192" s="17"/>
      <c r="OPW192" s="17"/>
      <c r="OPX192" s="17"/>
      <c r="OPY192" s="17"/>
      <c r="OPZ192" s="17"/>
      <c r="OQA192" s="17"/>
      <c r="OQB192" s="17"/>
      <c r="OQC192" s="17"/>
      <c r="OQD192" s="17"/>
      <c r="OQE192" s="17"/>
      <c r="OQF192" s="17"/>
      <c r="OQG192" s="17"/>
      <c r="OQH192" s="17"/>
      <c r="OQI192" s="17"/>
      <c r="OQJ192" s="17"/>
      <c r="OQK192" s="17"/>
      <c r="OQL192" s="17"/>
      <c r="OQM192" s="17"/>
      <c r="OQN192" s="17"/>
      <c r="OQO192" s="17"/>
      <c r="OQP192" s="17"/>
      <c r="OQQ192" s="17"/>
      <c r="OQR192" s="17"/>
      <c r="OQS192" s="17"/>
      <c r="OQT192" s="17"/>
      <c r="OQU192" s="17"/>
      <c r="OQV192" s="17"/>
      <c r="OQW192" s="17"/>
      <c r="OQX192" s="17"/>
      <c r="OQY192" s="17"/>
      <c r="OQZ192" s="17"/>
      <c r="ORA192" s="17"/>
      <c r="ORB192" s="17"/>
      <c r="ORC192" s="17"/>
      <c r="ORD192" s="17"/>
      <c r="ORE192" s="17"/>
      <c r="ORF192" s="17"/>
      <c r="ORG192" s="17"/>
      <c r="ORH192" s="17"/>
      <c r="ORI192" s="17"/>
      <c r="ORJ192" s="17"/>
      <c r="ORK192" s="17"/>
      <c r="ORL192" s="17"/>
      <c r="ORM192" s="17"/>
      <c r="ORN192" s="17"/>
      <c r="ORO192" s="17"/>
      <c r="ORP192" s="17"/>
      <c r="ORQ192" s="17"/>
      <c r="ORR192" s="17"/>
      <c r="ORS192" s="17"/>
      <c r="ORT192" s="17"/>
      <c r="ORU192" s="17"/>
      <c r="ORV192" s="17"/>
      <c r="ORW192" s="17"/>
      <c r="ORX192" s="17"/>
      <c r="ORY192" s="17"/>
      <c r="ORZ192" s="17"/>
      <c r="OSA192" s="17"/>
      <c r="OSB192" s="17"/>
      <c r="OSC192" s="17"/>
      <c r="OSD192" s="17"/>
      <c r="OSE192" s="17"/>
      <c r="OSF192" s="17"/>
      <c r="OSG192" s="17"/>
      <c r="OSH192" s="17"/>
      <c r="OSI192" s="17"/>
      <c r="OSJ192" s="17"/>
      <c r="OSK192" s="17"/>
      <c r="OSL192" s="17"/>
      <c r="OSM192" s="17"/>
      <c r="OSN192" s="17"/>
      <c r="OSO192" s="17"/>
      <c r="OSP192" s="17"/>
      <c r="OSQ192" s="17"/>
      <c r="OSR192" s="17"/>
      <c r="OSS192" s="17"/>
      <c r="OST192" s="17"/>
      <c r="OSU192" s="17"/>
      <c r="OSV192" s="17"/>
      <c r="OSW192" s="17"/>
      <c r="OSX192" s="17"/>
      <c r="OSY192" s="17"/>
      <c r="OSZ192" s="17"/>
      <c r="OTA192" s="17"/>
      <c r="OTB192" s="17"/>
      <c r="OTC192" s="17"/>
      <c r="OTD192" s="17"/>
      <c r="OTE192" s="17"/>
      <c r="OTF192" s="17"/>
      <c r="OTG192" s="17"/>
      <c r="OTH192" s="17"/>
      <c r="OTI192" s="17"/>
      <c r="OTJ192" s="17"/>
      <c r="OTK192" s="17"/>
      <c r="OTL192" s="17"/>
      <c r="OTM192" s="17"/>
      <c r="OTN192" s="17"/>
      <c r="OTO192" s="17"/>
      <c r="OTP192" s="17"/>
      <c r="OTQ192" s="17"/>
      <c r="OTR192" s="17"/>
      <c r="OTS192" s="17"/>
      <c r="OTT192" s="17"/>
      <c r="OTU192" s="17"/>
      <c r="OTV192" s="17"/>
      <c r="OTW192" s="17"/>
      <c r="OTX192" s="17"/>
      <c r="OTY192" s="17"/>
      <c r="OTZ192" s="17"/>
      <c r="OUA192" s="17"/>
      <c r="OUB192" s="17"/>
      <c r="OUC192" s="17"/>
      <c r="OUD192" s="17"/>
      <c r="OUE192" s="17"/>
      <c r="OUF192" s="17"/>
      <c r="OUG192" s="17"/>
      <c r="OUH192" s="17"/>
      <c r="OUI192" s="17"/>
      <c r="OUJ192" s="17"/>
      <c r="OUK192" s="17"/>
      <c r="OUL192" s="17"/>
      <c r="OUM192" s="17"/>
      <c r="OUN192" s="17"/>
      <c r="OUO192" s="17"/>
      <c r="OUP192" s="17"/>
      <c r="OUQ192" s="17"/>
      <c r="OUR192" s="17"/>
      <c r="OUS192" s="17"/>
      <c r="OUT192" s="17"/>
      <c r="OUU192" s="17"/>
      <c r="OUV192" s="17"/>
      <c r="OUW192" s="17"/>
      <c r="OUX192" s="17"/>
      <c r="OUY192" s="17"/>
      <c r="OUZ192" s="17"/>
      <c r="OVA192" s="17"/>
      <c r="OVB192" s="17"/>
      <c r="OVC192" s="17"/>
      <c r="OVD192" s="17"/>
      <c r="OVE192" s="17"/>
      <c r="OVF192" s="17"/>
      <c r="OVG192" s="17"/>
      <c r="OVH192" s="17"/>
      <c r="OVI192" s="17"/>
      <c r="OVJ192" s="17"/>
      <c r="OVK192" s="17"/>
      <c r="OVL192" s="17"/>
      <c r="OVM192" s="17"/>
      <c r="OVN192" s="17"/>
      <c r="OVO192" s="17"/>
      <c r="OVP192" s="17"/>
      <c r="OVQ192" s="17"/>
      <c r="OVR192" s="17"/>
      <c r="OVS192" s="17"/>
      <c r="OVT192" s="17"/>
      <c r="OVU192" s="17"/>
      <c r="OVV192" s="17"/>
      <c r="OVW192" s="17"/>
      <c r="OVX192" s="17"/>
      <c r="OVY192" s="17"/>
      <c r="OVZ192" s="17"/>
      <c r="OWA192" s="17"/>
      <c r="OWB192" s="17"/>
      <c r="OWC192" s="17"/>
      <c r="OWD192" s="17"/>
      <c r="OWE192" s="17"/>
      <c r="OWF192" s="17"/>
      <c r="OWG192" s="17"/>
      <c r="OWH192" s="17"/>
      <c r="OWI192" s="17"/>
      <c r="OWJ192" s="17"/>
      <c r="OWK192" s="17"/>
      <c r="OWL192" s="17"/>
      <c r="OWM192" s="17"/>
      <c r="OWN192" s="17"/>
      <c r="OWO192" s="17"/>
      <c r="OWP192" s="17"/>
      <c r="OWQ192" s="17"/>
      <c r="OWR192" s="17"/>
      <c r="OWS192" s="17"/>
      <c r="OWT192" s="17"/>
      <c r="OWU192" s="17"/>
      <c r="OWV192" s="17"/>
      <c r="OWW192" s="17"/>
      <c r="OWX192" s="17"/>
      <c r="OWY192" s="17"/>
      <c r="OWZ192" s="17"/>
      <c r="OXA192" s="17"/>
      <c r="OXB192" s="17"/>
      <c r="OXC192" s="17"/>
      <c r="OXD192" s="17"/>
      <c r="OXE192" s="17"/>
      <c r="OXF192" s="17"/>
      <c r="OXG192" s="17"/>
      <c r="OXH192" s="17"/>
      <c r="OXI192" s="17"/>
      <c r="OXJ192" s="17"/>
      <c r="OXK192" s="17"/>
      <c r="OXL192" s="17"/>
      <c r="OXM192" s="17"/>
      <c r="OXN192" s="17"/>
      <c r="OXO192" s="17"/>
      <c r="OXP192" s="17"/>
      <c r="OXQ192" s="17"/>
      <c r="OXR192" s="17"/>
      <c r="OXS192" s="17"/>
      <c r="OXT192" s="17"/>
      <c r="OXU192" s="17"/>
      <c r="OXV192" s="17"/>
      <c r="OXW192" s="17"/>
      <c r="OXX192" s="17"/>
      <c r="OXY192" s="17"/>
      <c r="OXZ192" s="17"/>
      <c r="OYA192" s="17"/>
      <c r="OYB192" s="17"/>
      <c r="OYC192" s="17"/>
      <c r="OYD192" s="17"/>
      <c r="OYE192" s="17"/>
      <c r="OYF192" s="17"/>
      <c r="OYG192" s="17"/>
      <c r="OYH192" s="17"/>
      <c r="OYI192" s="17"/>
      <c r="OYJ192" s="17"/>
      <c r="OYK192" s="17"/>
      <c r="OYL192" s="17"/>
      <c r="OYM192" s="17"/>
      <c r="OYN192" s="17"/>
      <c r="OYO192" s="17"/>
      <c r="OYP192" s="17"/>
      <c r="OYQ192" s="17"/>
      <c r="OYR192" s="17"/>
      <c r="OYS192" s="17"/>
      <c r="OYT192" s="17"/>
      <c r="OYU192" s="17"/>
      <c r="OYV192" s="17"/>
      <c r="OYW192" s="17"/>
      <c r="OYX192" s="17"/>
      <c r="OYY192" s="17"/>
      <c r="OYZ192" s="17"/>
      <c r="OZA192" s="17"/>
      <c r="OZB192" s="17"/>
      <c r="OZC192" s="17"/>
      <c r="OZD192" s="17"/>
      <c r="OZE192" s="17"/>
      <c r="OZF192" s="17"/>
      <c r="OZG192" s="17"/>
      <c r="OZH192" s="17"/>
      <c r="OZI192" s="17"/>
      <c r="OZJ192" s="17"/>
      <c r="OZK192" s="17"/>
      <c r="OZL192" s="17"/>
      <c r="OZM192" s="17"/>
      <c r="OZN192" s="17"/>
      <c r="OZO192" s="17"/>
      <c r="OZP192" s="17"/>
      <c r="OZQ192" s="17"/>
      <c r="OZR192" s="17"/>
      <c r="OZS192" s="17"/>
      <c r="OZT192" s="17"/>
      <c r="OZU192" s="17"/>
      <c r="OZV192" s="17"/>
      <c r="OZW192" s="17"/>
      <c r="OZX192" s="17"/>
      <c r="OZY192" s="17"/>
      <c r="OZZ192" s="17"/>
      <c r="PAA192" s="17"/>
      <c r="PAB192" s="17"/>
      <c r="PAC192" s="17"/>
      <c r="PAD192" s="17"/>
      <c r="PAE192" s="17"/>
      <c r="PAF192" s="17"/>
      <c r="PAG192" s="17"/>
      <c r="PAH192" s="17"/>
      <c r="PAI192" s="17"/>
      <c r="PAJ192" s="17"/>
      <c r="PAK192" s="17"/>
      <c r="PAL192" s="17"/>
      <c r="PAM192" s="17"/>
      <c r="PAN192" s="17"/>
      <c r="PAO192" s="17"/>
      <c r="PAP192" s="17"/>
      <c r="PAQ192" s="17"/>
      <c r="PAR192" s="17"/>
      <c r="PAS192" s="17"/>
      <c r="PAT192" s="17"/>
      <c r="PAU192" s="17"/>
      <c r="PAV192" s="17"/>
      <c r="PAW192" s="17"/>
      <c r="PAX192" s="17"/>
      <c r="PAY192" s="17"/>
      <c r="PAZ192" s="17"/>
      <c r="PBA192" s="17"/>
      <c r="PBB192" s="17"/>
      <c r="PBC192" s="17"/>
      <c r="PBD192" s="17"/>
      <c r="PBE192" s="17"/>
      <c r="PBF192" s="17"/>
      <c r="PBG192" s="17"/>
      <c r="PBH192" s="17"/>
      <c r="PBI192" s="17"/>
      <c r="PBJ192" s="17"/>
      <c r="PBK192" s="17"/>
      <c r="PBL192" s="17"/>
      <c r="PBM192" s="17"/>
      <c r="PBN192" s="17"/>
      <c r="PBO192" s="17"/>
      <c r="PBP192" s="17"/>
      <c r="PBQ192" s="17"/>
      <c r="PBR192" s="17"/>
      <c r="PBS192" s="17"/>
      <c r="PBT192" s="17"/>
      <c r="PBU192" s="17"/>
      <c r="PBV192" s="17"/>
      <c r="PBW192" s="17"/>
      <c r="PBX192" s="17"/>
      <c r="PBY192" s="17"/>
      <c r="PBZ192" s="17"/>
      <c r="PCA192" s="17"/>
      <c r="PCB192" s="17"/>
      <c r="PCC192" s="17"/>
      <c r="PCD192" s="17"/>
      <c r="PCE192" s="17"/>
      <c r="PCF192" s="17"/>
      <c r="PCG192" s="17"/>
      <c r="PCH192" s="17"/>
      <c r="PCI192" s="17"/>
      <c r="PCJ192" s="17"/>
      <c r="PCK192" s="17"/>
      <c r="PCL192" s="17"/>
      <c r="PCM192" s="17"/>
      <c r="PCN192" s="17"/>
      <c r="PCO192" s="17"/>
      <c r="PCP192" s="17"/>
      <c r="PCQ192" s="17"/>
      <c r="PCR192" s="17"/>
      <c r="PCS192" s="17"/>
      <c r="PCT192" s="17"/>
      <c r="PCU192" s="17"/>
      <c r="PCV192" s="17"/>
      <c r="PCW192" s="17"/>
      <c r="PCX192" s="17"/>
      <c r="PCY192" s="17"/>
      <c r="PCZ192" s="17"/>
      <c r="PDA192" s="17"/>
      <c r="PDB192" s="17"/>
      <c r="PDC192" s="17"/>
      <c r="PDD192" s="17"/>
      <c r="PDE192" s="17"/>
      <c r="PDF192" s="17"/>
      <c r="PDG192" s="17"/>
      <c r="PDH192" s="17"/>
      <c r="PDI192" s="17"/>
      <c r="PDJ192" s="17"/>
      <c r="PDK192" s="17"/>
      <c r="PDL192" s="17"/>
      <c r="PDM192" s="17"/>
      <c r="PDN192" s="17"/>
      <c r="PDO192" s="17"/>
      <c r="PDP192" s="17"/>
      <c r="PDQ192" s="17"/>
      <c r="PDR192" s="17"/>
      <c r="PDS192" s="17"/>
      <c r="PDT192" s="17"/>
      <c r="PDU192" s="17"/>
      <c r="PDV192" s="17"/>
      <c r="PDW192" s="17"/>
      <c r="PDX192" s="17"/>
      <c r="PDY192" s="17"/>
      <c r="PDZ192" s="17"/>
      <c r="PEA192" s="17"/>
      <c r="PEB192" s="17"/>
      <c r="PEC192" s="17"/>
      <c r="PED192" s="17"/>
      <c r="PEE192" s="17"/>
      <c r="PEF192" s="17"/>
      <c r="PEG192" s="17"/>
      <c r="PEH192" s="17"/>
      <c r="PEI192" s="17"/>
      <c r="PEJ192" s="17"/>
      <c r="PEK192" s="17"/>
      <c r="PEL192" s="17"/>
      <c r="PEM192" s="17"/>
      <c r="PEN192" s="17"/>
      <c r="PEO192" s="17"/>
      <c r="PEP192" s="17"/>
      <c r="PEQ192" s="17"/>
      <c r="PER192" s="17"/>
      <c r="PES192" s="17"/>
      <c r="PET192" s="17"/>
      <c r="PEU192" s="17"/>
      <c r="PEV192" s="17"/>
      <c r="PEW192" s="17"/>
      <c r="PEX192" s="17"/>
      <c r="PEY192" s="17"/>
      <c r="PEZ192" s="17"/>
      <c r="PFA192" s="17"/>
      <c r="PFB192" s="17"/>
      <c r="PFC192" s="17"/>
      <c r="PFD192" s="17"/>
      <c r="PFE192" s="17"/>
      <c r="PFF192" s="17"/>
      <c r="PFG192" s="17"/>
      <c r="PFH192" s="17"/>
      <c r="PFI192" s="17"/>
      <c r="PFJ192" s="17"/>
      <c r="PFK192" s="17"/>
      <c r="PFL192" s="17"/>
      <c r="PFM192" s="17"/>
      <c r="PFN192" s="17"/>
      <c r="PFO192" s="17"/>
      <c r="PFP192" s="17"/>
      <c r="PFQ192" s="17"/>
      <c r="PFR192" s="17"/>
      <c r="PFS192" s="17"/>
      <c r="PFT192" s="17"/>
      <c r="PFU192" s="17"/>
      <c r="PFV192" s="17"/>
      <c r="PFW192" s="17"/>
      <c r="PFX192" s="17"/>
      <c r="PFY192" s="17"/>
      <c r="PFZ192" s="17"/>
      <c r="PGA192" s="17"/>
      <c r="PGB192" s="17"/>
      <c r="PGC192" s="17"/>
      <c r="PGD192" s="17"/>
      <c r="PGE192" s="17"/>
      <c r="PGF192" s="17"/>
      <c r="PGG192" s="17"/>
      <c r="PGH192" s="17"/>
      <c r="PGI192" s="17"/>
      <c r="PGJ192" s="17"/>
      <c r="PGK192" s="17"/>
      <c r="PGL192" s="17"/>
      <c r="PGM192" s="17"/>
      <c r="PGN192" s="17"/>
      <c r="PGO192" s="17"/>
      <c r="PGP192" s="17"/>
      <c r="PGQ192" s="17"/>
      <c r="PGR192" s="17"/>
      <c r="PGS192" s="17"/>
      <c r="PGT192" s="17"/>
      <c r="PGU192" s="17"/>
      <c r="PGV192" s="17"/>
      <c r="PGW192" s="17"/>
      <c r="PGX192" s="17"/>
      <c r="PGY192" s="17"/>
      <c r="PGZ192" s="17"/>
      <c r="PHA192" s="17"/>
      <c r="PHB192" s="17"/>
      <c r="PHC192" s="17"/>
      <c r="PHD192" s="17"/>
      <c r="PHE192" s="17"/>
      <c r="PHF192" s="17"/>
      <c r="PHG192" s="17"/>
      <c r="PHH192" s="17"/>
      <c r="PHI192" s="17"/>
      <c r="PHJ192" s="17"/>
      <c r="PHK192" s="17"/>
      <c r="PHL192" s="17"/>
      <c r="PHM192" s="17"/>
      <c r="PHN192" s="17"/>
      <c r="PHO192" s="17"/>
      <c r="PHP192" s="17"/>
      <c r="PHQ192" s="17"/>
      <c r="PHR192" s="17"/>
      <c r="PHS192" s="17"/>
      <c r="PHT192" s="17"/>
      <c r="PHU192" s="17"/>
      <c r="PHV192" s="17"/>
      <c r="PHW192" s="17"/>
      <c r="PHX192" s="17"/>
      <c r="PHY192" s="17"/>
      <c r="PHZ192" s="17"/>
      <c r="PIA192" s="17"/>
      <c r="PIB192" s="17"/>
      <c r="PIC192" s="17"/>
      <c r="PID192" s="17"/>
      <c r="PIE192" s="17"/>
      <c r="PIF192" s="17"/>
      <c r="PIG192" s="17"/>
      <c r="PIH192" s="17"/>
      <c r="PII192" s="17"/>
      <c r="PIJ192" s="17"/>
      <c r="PIK192" s="17"/>
      <c r="PIL192" s="17"/>
      <c r="PIM192" s="17"/>
      <c r="PIN192" s="17"/>
      <c r="PIO192" s="17"/>
      <c r="PIP192" s="17"/>
      <c r="PIQ192" s="17"/>
      <c r="PIR192" s="17"/>
      <c r="PIS192" s="17"/>
      <c r="PIT192" s="17"/>
      <c r="PIU192" s="17"/>
      <c r="PIV192" s="17"/>
      <c r="PIW192" s="17"/>
      <c r="PIX192" s="17"/>
      <c r="PIY192" s="17"/>
      <c r="PIZ192" s="17"/>
      <c r="PJA192" s="17"/>
      <c r="PJB192" s="17"/>
      <c r="PJC192" s="17"/>
      <c r="PJD192" s="17"/>
      <c r="PJE192" s="17"/>
      <c r="PJF192" s="17"/>
      <c r="PJG192" s="17"/>
      <c r="PJH192" s="17"/>
      <c r="PJI192" s="17"/>
      <c r="PJJ192" s="17"/>
      <c r="PJK192" s="17"/>
      <c r="PJL192" s="17"/>
      <c r="PJM192" s="17"/>
      <c r="PJN192" s="17"/>
      <c r="PJO192" s="17"/>
      <c r="PJP192" s="17"/>
      <c r="PJQ192" s="17"/>
      <c r="PJR192" s="17"/>
      <c r="PJS192" s="17"/>
      <c r="PJT192" s="17"/>
      <c r="PJU192" s="17"/>
      <c r="PJV192" s="17"/>
      <c r="PJW192" s="17"/>
      <c r="PJX192" s="17"/>
      <c r="PJY192" s="17"/>
      <c r="PJZ192" s="17"/>
      <c r="PKA192" s="17"/>
      <c r="PKB192" s="17"/>
      <c r="PKC192" s="17"/>
      <c r="PKD192" s="17"/>
      <c r="PKE192" s="17"/>
      <c r="PKF192" s="17"/>
      <c r="PKG192" s="17"/>
      <c r="PKH192" s="17"/>
      <c r="PKI192" s="17"/>
      <c r="PKJ192" s="17"/>
      <c r="PKK192" s="17"/>
      <c r="PKL192" s="17"/>
      <c r="PKM192" s="17"/>
      <c r="PKN192" s="17"/>
      <c r="PKO192" s="17"/>
      <c r="PKP192" s="17"/>
      <c r="PKQ192" s="17"/>
      <c r="PKR192" s="17"/>
      <c r="PKS192" s="17"/>
      <c r="PKT192" s="17"/>
      <c r="PKU192" s="17"/>
      <c r="PKV192" s="17"/>
      <c r="PKW192" s="17"/>
      <c r="PKX192" s="17"/>
      <c r="PKY192" s="17"/>
      <c r="PKZ192" s="17"/>
      <c r="PLA192" s="17"/>
      <c r="PLB192" s="17"/>
      <c r="PLC192" s="17"/>
      <c r="PLD192" s="17"/>
      <c r="PLE192" s="17"/>
      <c r="PLF192" s="17"/>
      <c r="PLG192" s="17"/>
      <c r="PLH192" s="17"/>
      <c r="PLI192" s="17"/>
      <c r="PLJ192" s="17"/>
      <c r="PLK192" s="17"/>
      <c r="PLL192" s="17"/>
      <c r="PLM192" s="17"/>
      <c r="PLN192" s="17"/>
      <c r="PLO192" s="17"/>
      <c r="PLP192" s="17"/>
      <c r="PLQ192" s="17"/>
      <c r="PLR192" s="17"/>
      <c r="PLS192" s="17"/>
      <c r="PLT192" s="17"/>
      <c r="PLU192" s="17"/>
      <c r="PLV192" s="17"/>
      <c r="PLW192" s="17"/>
      <c r="PLX192" s="17"/>
      <c r="PLY192" s="17"/>
      <c r="PLZ192" s="17"/>
      <c r="PMA192" s="17"/>
      <c r="PMB192" s="17"/>
      <c r="PMC192" s="17"/>
      <c r="PMD192" s="17"/>
      <c r="PME192" s="17"/>
      <c r="PMF192" s="17"/>
      <c r="PMG192" s="17"/>
      <c r="PMH192" s="17"/>
      <c r="PMI192" s="17"/>
      <c r="PMJ192" s="17"/>
      <c r="PMK192" s="17"/>
      <c r="PML192" s="17"/>
      <c r="PMM192" s="17"/>
      <c r="PMN192" s="17"/>
      <c r="PMO192" s="17"/>
      <c r="PMP192" s="17"/>
      <c r="PMQ192" s="17"/>
      <c r="PMR192" s="17"/>
      <c r="PMS192" s="17"/>
      <c r="PMT192" s="17"/>
      <c r="PMU192" s="17"/>
      <c r="PMV192" s="17"/>
      <c r="PMW192" s="17"/>
      <c r="PMX192" s="17"/>
      <c r="PMY192" s="17"/>
      <c r="PMZ192" s="17"/>
      <c r="PNA192" s="17"/>
      <c r="PNB192" s="17"/>
      <c r="PNC192" s="17"/>
      <c r="PND192" s="17"/>
      <c r="PNE192" s="17"/>
      <c r="PNF192" s="17"/>
      <c r="PNG192" s="17"/>
      <c r="PNH192" s="17"/>
      <c r="PNI192" s="17"/>
      <c r="PNJ192" s="17"/>
      <c r="PNK192" s="17"/>
      <c r="PNL192" s="17"/>
      <c r="PNM192" s="17"/>
      <c r="PNN192" s="17"/>
      <c r="PNO192" s="17"/>
      <c r="PNP192" s="17"/>
      <c r="PNQ192" s="17"/>
      <c r="PNR192" s="17"/>
      <c r="PNS192" s="17"/>
      <c r="PNT192" s="17"/>
      <c r="PNU192" s="17"/>
      <c r="PNV192" s="17"/>
      <c r="PNW192" s="17"/>
      <c r="PNX192" s="17"/>
      <c r="PNY192" s="17"/>
      <c r="PNZ192" s="17"/>
      <c r="POA192" s="17"/>
      <c r="POB192" s="17"/>
      <c r="POC192" s="17"/>
      <c r="POD192" s="17"/>
      <c r="POE192" s="17"/>
      <c r="POF192" s="17"/>
      <c r="POG192" s="17"/>
      <c r="POH192" s="17"/>
      <c r="POI192" s="17"/>
      <c r="POJ192" s="17"/>
      <c r="POK192" s="17"/>
      <c r="POL192" s="17"/>
      <c r="POM192" s="17"/>
      <c r="PON192" s="17"/>
      <c r="POO192" s="17"/>
      <c r="POP192" s="17"/>
      <c r="POQ192" s="17"/>
      <c r="POR192" s="17"/>
      <c r="POS192" s="17"/>
      <c r="POT192" s="17"/>
      <c r="POU192" s="17"/>
      <c r="POV192" s="17"/>
      <c r="POW192" s="17"/>
      <c r="POX192" s="17"/>
      <c r="POY192" s="17"/>
      <c r="POZ192" s="17"/>
      <c r="PPA192" s="17"/>
      <c r="PPB192" s="17"/>
      <c r="PPC192" s="17"/>
      <c r="PPD192" s="17"/>
      <c r="PPE192" s="17"/>
      <c r="PPF192" s="17"/>
      <c r="PPG192" s="17"/>
      <c r="PPH192" s="17"/>
      <c r="PPI192" s="17"/>
      <c r="PPJ192" s="17"/>
      <c r="PPK192" s="17"/>
      <c r="PPL192" s="17"/>
      <c r="PPM192" s="17"/>
      <c r="PPN192" s="17"/>
      <c r="PPO192" s="17"/>
      <c r="PPP192" s="17"/>
      <c r="PPQ192" s="17"/>
      <c r="PPR192" s="17"/>
      <c r="PPS192" s="17"/>
      <c r="PPT192" s="17"/>
      <c r="PPU192" s="17"/>
      <c r="PPV192" s="17"/>
      <c r="PPW192" s="17"/>
      <c r="PPX192" s="17"/>
      <c r="PPY192" s="17"/>
      <c r="PPZ192" s="17"/>
      <c r="PQA192" s="17"/>
      <c r="PQB192" s="17"/>
      <c r="PQC192" s="17"/>
      <c r="PQD192" s="17"/>
      <c r="PQE192" s="17"/>
      <c r="PQF192" s="17"/>
      <c r="PQG192" s="17"/>
      <c r="PQH192" s="17"/>
      <c r="PQI192" s="17"/>
      <c r="PQJ192" s="17"/>
      <c r="PQK192" s="17"/>
      <c r="PQL192" s="17"/>
      <c r="PQM192" s="17"/>
      <c r="PQN192" s="17"/>
      <c r="PQO192" s="17"/>
      <c r="PQP192" s="17"/>
      <c r="PQQ192" s="17"/>
      <c r="PQR192" s="17"/>
      <c r="PQS192" s="17"/>
      <c r="PQT192" s="17"/>
      <c r="PQU192" s="17"/>
      <c r="PQV192" s="17"/>
      <c r="PQW192" s="17"/>
      <c r="PQX192" s="17"/>
      <c r="PQY192" s="17"/>
      <c r="PQZ192" s="17"/>
      <c r="PRA192" s="17"/>
      <c r="PRB192" s="17"/>
      <c r="PRC192" s="17"/>
      <c r="PRD192" s="17"/>
      <c r="PRE192" s="17"/>
      <c r="PRF192" s="17"/>
      <c r="PRG192" s="17"/>
      <c r="PRH192" s="17"/>
      <c r="PRI192" s="17"/>
      <c r="PRJ192" s="17"/>
      <c r="PRK192" s="17"/>
      <c r="PRL192" s="17"/>
      <c r="PRM192" s="17"/>
      <c r="PRN192" s="17"/>
      <c r="PRO192" s="17"/>
      <c r="PRP192" s="17"/>
      <c r="PRQ192" s="17"/>
      <c r="PRR192" s="17"/>
      <c r="PRS192" s="17"/>
      <c r="PRT192" s="17"/>
      <c r="PRU192" s="17"/>
      <c r="PRV192" s="17"/>
      <c r="PRW192" s="17"/>
      <c r="PRX192" s="17"/>
      <c r="PRY192" s="17"/>
      <c r="PRZ192" s="17"/>
      <c r="PSA192" s="17"/>
      <c r="PSB192" s="17"/>
      <c r="PSC192" s="17"/>
      <c r="PSD192" s="17"/>
      <c r="PSE192" s="17"/>
      <c r="PSF192" s="17"/>
      <c r="PSG192" s="17"/>
      <c r="PSH192" s="17"/>
      <c r="PSI192" s="17"/>
      <c r="PSJ192" s="17"/>
      <c r="PSK192" s="17"/>
      <c r="PSL192" s="17"/>
      <c r="PSM192" s="17"/>
      <c r="PSN192" s="17"/>
      <c r="PSO192" s="17"/>
      <c r="PSP192" s="17"/>
      <c r="PSQ192" s="17"/>
      <c r="PSR192" s="17"/>
      <c r="PSS192" s="17"/>
      <c r="PST192" s="17"/>
      <c r="PSU192" s="17"/>
      <c r="PSV192" s="17"/>
      <c r="PSW192" s="17"/>
      <c r="PSX192" s="17"/>
      <c r="PSY192" s="17"/>
      <c r="PSZ192" s="17"/>
      <c r="PTA192" s="17"/>
      <c r="PTB192" s="17"/>
      <c r="PTC192" s="17"/>
      <c r="PTD192" s="17"/>
      <c r="PTE192" s="17"/>
      <c r="PTF192" s="17"/>
      <c r="PTG192" s="17"/>
      <c r="PTH192" s="17"/>
      <c r="PTI192" s="17"/>
      <c r="PTJ192" s="17"/>
      <c r="PTK192" s="17"/>
      <c r="PTL192" s="17"/>
      <c r="PTM192" s="17"/>
      <c r="PTN192" s="17"/>
      <c r="PTO192" s="17"/>
      <c r="PTP192" s="17"/>
      <c r="PTQ192" s="17"/>
      <c r="PTR192" s="17"/>
      <c r="PTS192" s="17"/>
      <c r="PTT192" s="17"/>
      <c r="PTU192" s="17"/>
      <c r="PTV192" s="17"/>
      <c r="PTW192" s="17"/>
      <c r="PTX192" s="17"/>
      <c r="PTY192" s="17"/>
      <c r="PTZ192" s="17"/>
      <c r="PUA192" s="17"/>
      <c r="PUB192" s="17"/>
      <c r="PUC192" s="17"/>
      <c r="PUD192" s="17"/>
      <c r="PUE192" s="17"/>
      <c r="PUF192" s="17"/>
      <c r="PUG192" s="17"/>
      <c r="PUH192" s="17"/>
      <c r="PUI192" s="17"/>
      <c r="PUJ192" s="17"/>
      <c r="PUK192" s="17"/>
      <c r="PUL192" s="17"/>
      <c r="PUM192" s="17"/>
      <c r="PUN192" s="17"/>
      <c r="PUO192" s="17"/>
      <c r="PUP192" s="17"/>
      <c r="PUQ192" s="17"/>
      <c r="PUR192" s="17"/>
      <c r="PUS192" s="17"/>
      <c r="PUT192" s="17"/>
      <c r="PUU192" s="17"/>
      <c r="PUV192" s="17"/>
      <c r="PUW192" s="17"/>
      <c r="PUX192" s="17"/>
      <c r="PUY192" s="17"/>
      <c r="PUZ192" s="17"/>
      <c r="PVA192" s="17"/>
      <c r="PVB192" s="17"/>
      <c r="PVC192" s="17"/>
      <c r="PVD192" s="17"/>
      <c r="PVE192" s="17"/>
      <c r="PVF192" s="17"/>
      <c r="PVG192" s="17"/>
      <c r="PVH192" s="17"/>
      <c r="PVI192" s="17"/>
      <c r="PVJ192" s="17"/>
      <c r="PVK192" s="17"/>
      <c r="PVL192" s="17"/>
      <c r="PVM192" s="17"/>
      <c r="PVN192" s="17"/>
      <c r="PVO192" s="17"/>
      <c r="PVP192" s="17"/>
      <c r="PVQ192" s="17"/>
      <c r="PVR192" s="17"/>
      <c r="PVS192" s="17"/>
      <c r="PVT192" s="17"/>
      <c r="PVU192" s="17"/>
      <c r="PVV192" s="17"/>
      <c r="PVW192" s="17"/>
      <c r="PVX192" s="17"/>
      <c r="PVY192" s="17"/>
      <c r="PVZ192" s="17"/>
      <c r="PWA192" s="17"/>
      <c r="PWB192" s="17"/>
      <c r="PWC192" s="17"/>
      <c r="PWD192" s="17"/>
      <c r="PWE192" s="17"/>
      <c r="PWF192" s="17"/>
      <c r="PWG192" s="17"/>
      <c r="PWH192" s="17"/>
      <c r="PWI192" s="17"/>
      <c r="PWJ192" s="17"/>
      <c r="PWK192" s="17"/>
      <c r="PWL192" s="17"/>
      <c r="PWM192" s="17"/>
      <c r="PWN192" s="17"/>
      <c r="PWO192" s="17"/>
      <c r="PWP192" s="17"/>
      <c r="PWQ192" s="17"/>
      <c r="PWR192" s="17"/>
      <c r="PWS192" s="17"/>
      <c r="PWT192" s="17"/>
      <c r="PWU192" s="17"/>
      <c r="PWV192" s="17"/>
      <c r="PWW192" s="17"/>
      <c r="PWX192" s="17"/>
      <c r="PWY192" s="17"/>
      <c r="PWZ192" s="17"/>
      <c r="PXA192" s="17"/>
      <c r="PXB192" s="17"/>
      <c r="PXC192" s="17"/>
      <c r="PXD192" s="17"/>
      <c r="PXE192" s="17"/>
      <c r="PXF192" s="17"/>
      <c r="PXG192" s="17"/>
      <c r="PXH192" s="17"/>
      <c r="PXI192" s="17"/>
      <c r="PXJ192" s="17"/>
      <c r="PXK192" s="17"/>
      <c r="PXL192" s="17"/>
      <c r="PXM192" s="17"/>
      <c r="PXN192" s="17"/>
      <c r="PXO192" s="17"/>
      <c r="PXP192" s="17"/>
      <c r="PXQ192" s="17"/>
      <c r="PXR192" s="17"/>
      <c r="PXS192" s="17"/>
      <c r="PXT192" s="17"/>
      <c r="PXU192" s="17"/>
      <c r="PXV192" s="17"/>
      <c r="PXW192" s="17"/>
      <c r="PXX192" s="17"/>
      <c r="PXY192" s="17"/>
      <c r="PXZ192" s="17"/>
      <c r="PYA192" s="17"/>
      <c r="PYB192" s="17"/>
      <c r="PYC192" s="17"/>
      <c r="PYD192" s="17"/>
      <c r="PYE192" s="17"/>
      <c r="PYF192" s="17"/>
      <c r="PYG192" s="17"/>
      <c r="PYH192" s="17"/>
      <c r="PYI192" s="17"/>
      <c r="PYJ192" s="17"/>
      <c r="PYK192" s="17"/>
      <c r="PYL192" s="17"/>
      <c r="PYM192" s="17"/>
      <c r="PYN192" s="17"/>
      <c r="PYO192" s="17"/>
      <c r="PYP192" s="17"/>
      <c r="PYQ192" s="17"/>
      <c r="PYR192" s="17"/>
      <c r="PYS192" s="17"/>
      <c r="PYT192" s="17"/>
      <c r="PYU192" s="17"/>
      <c r="PYV192" s="17"/>
      <c r="PYW192" s="17"/>
      <c r="PYX192" s="17"/>
      <c r="PYY192" s="17"/>
      <c r="PYZ192" s="17"/>
      <c r="PZA192" s="17"/>
      <c r="PZB192" s="17"/>
      <c r="PZC192" s="17"/>
      <c r="PZD192" s="17"/>
      <c r="PZE192" s="17"/>
      <c r="PZF192" s="17"/>
      <c r="PZG192" s="17"/>
      <c r="PZH192" s="17"/>
      <c r="PZI192" s="17"/>
      <c r="PZJ192" s="17"/>
      <c r="PZK192" s="17"/>
      <c r="PZL192" s="17"/>
      <c r="PZM192" s="17"/>
      <c r="PZN192" s="17"/>
      <c r="PZO192" s="17"/>
      <c r="PZP192" s="17"/>
      <c r="PZQ192" s="17"/>
      <c r="PZR192" s="17"/>
      <c r="PZS192" s="17"/>
      <c r="PZT192" s="17"/>
      <c r="PZU192" s="17"/>
      <c r="PZV192" s="17"/>
      <c r="PZW192" s="17"/>
      <c r="PZX192" s="17"/>
      <c r="PZY192" s="17"/>
      <c r="PZZ192" s="17"/>
      <c r="QAA192" s="17"/>
      <c r="QAB192" s="17"/>
      <c r="QAC192" s="17"/>
      <c r="QAD192" s="17"/>
      <c r="QAE192" s="17"/>
      <c r="QAF192" s="17"/>
      <c r="QAG192" s="17"/>
      <c r="QAH192" s="17"/>
      <c r="QAI192" s="17"/>
      <c r="QAJ192" s="17"/>
      <c r="QAK192" s="17"/>
      <c r="QAL192" s="17"/>
      <c r="QAM192" s="17"/>
      <c r="QAN192" s="17"/>
      <c r="QAO192" s="17"/>
      <c r="QAP192" s="17"/>
      <c r="QAQ192" s="17"/>
      <c r="QAR192" s="17"/>
      <c r="QAS192" s="17"/>
      <c r="QAT192" s="17"/>
      <c r="QAU192" s="17"/>
      <c r="QAV192" s="17"/>
      <c r="QAW192" s="17"/>
      <c r="QAX192" s="17"/>
      <c r="QAY192" s="17"/>
      <c r="QAZ192" s="17"/>
      <c r="QBA192" s="17"/>
      <c r="QBB192" s="17"/>
      <c r="QBC192" s="17"/>
      <c r="QBD192" s="17"/>
      <c r="QBE192" s="17"/>
      <c r="QBF192" s="17"/>
      <c r="QBG192" s="17"/>
      <c r="QBH192" s="17"/>
      <c r="QBI192" s="17"/>
      <c r="QBJ192" s="17"/>
      <c r="QBK192" s="17"/>
      <c r="QBL192" s="17"/>
      <c r="QBM192" s="17"/>
      <c r="QBN192" s="17"/>
      <c r="QBO192" s="17"/>
      <c r="QBP192" s="17"/>
      <c r="QBQ192" s="17"/>
      <c r="QBR192" s="17"/>
      <c r="QBS192" s="17"/>
      <c r="QBT192" s="17"/>
      <c r="QBU192" s="17"/>
      <c r="QBV192" s="17"/>
      <c r="QBW192" s="17"/>
      <c r="QBX192" s="17"/>
      <c r="QBY192" s="17"/>
      <c r="QBZ192" s="17"/>
      <c r="QCA192" s="17"/>
      <c r="QCB192" s="17"/>
      <c r="QCC192" s="17"/>
      <c r="QCD192" s="17"/>
      <c r="QCE192" s="17"/>
      <c r="QCF192" s="17"/>
      <c r="QCG192" s="17"/>
      <c r="QCH192" s="17"/>
      <c r="QCI192" s="17"/>
      <c r="QCJ192" s="17"/>
      <c r="QCK192" s="17"/>
      <c r="QCL192" s="17"/>
      <c r="QCM192" s="17"/>
      <c r="QCN192" s="17"/>
      <c r="QCO192" s="17"/>
      <c r="QCP192" s="17"/>
      <c r="QCQ192" s="17"/>
      <c r="QCR192" s="17"/>
      <c r="QCS192" s="17"/>
      <c r="QCT192" s="17"/>
      <c r="QCU192" s="17"/>
      <c r="QCV192" s="17"/>
      <c r="QCW192" s="17"/>
      <c r="QCX192" s="17"/>
      <c r="QCY192" s="17"/>
      <c r="QCZ192" s="17"/>
      <c r="QDA192" s="17"/>
      <c r="QDB192" s="17"/>
      <c r="QDC192" s="17"/>
      <c r="QDD192" s="17"/>
      <c r="QDE192" s="17"/>
      <c r="QDF192" s="17"/>
      <c r="QDG192" s="17"/>
      <c r="QDH192" s="17"/>
      <c r="QDI192" s="17"/>
      <c r="QDJ192" s="17"/>
      <c r="QDK192" s="17"/>
      <c r="QDL192" s="17"/>
      <c r="QDM192" s="17"/>
      <c r="QDN192" s="17"/>
      <c r="QDO192" s="17"/>
      <c r="QDP192" s="17"/>
      <c r="QDQ192" s="17"/>
      <c r="QDR192" s="17"/>
      <c r="QDS192" s="17"/>
      <c r="QDT192" s="17"/>
      <c r="QDU192" s="17"/>
      <c r="QDV192" s="17"/>
      <c r="QDW192" s="17"/>
      <c r="QDX192" s="17"/>
      <c r="QDY192" s="17"/>
      <c r="QDZ192" s="17"/>
      <c r="QEA192" s="17"/>
      <c r="QEB192" s="17"/>
      <c r="QEC192" s="17"/>
      <c r="QED192" s="17"/>
      <c r="QEE192" s="17"/>
      <c r="QEF192" s="17"/>
      <c r="QEG192" s="17"/>
      <c r="QEH192" s="17"/>
      <c r="QEI192" s="17"/>
      <c r="QEJ192" s="17"/>
      <c r="QEK192" s="17"/>
      <c r="QEL192" s="17"/>
      <c r="QEM192" s="17"/>
      <c r="QEN192" s="17"/>
      <c r="QEO192" s="17"/>
      <c r="QEP192" s="17"/>
      <c r="QEQ192" s="17"/>
      <c r="QER192" s="17"/>
      <c r="QES192" s="17"/>
      <c r="QET192" s="17"/>
      <c r="QEU192" s="17"/>
      <c r="QEV192" s="17"/>
      <c r="QEW192" s="17"/>
      <c r="QEX192" s="17"/>
      <c r="QEY192" s="17"/>
      <c r="QEZ192" s="17"/>
      <c r="QFA192" s="17"/>
      <c r="QFB192" s="17"/>
      <c r="QFC192" s="17"/>
      <c r="QFD192" s="17"/>
      <c r="QFE192" s="17"/>
      <c r="QFF192" s="17"/>
      <c r="QFG192" s="17"/>
      <c r="QFH192" s="17"/>
      <c r="QFI192" s="17"/>
      <c r="QFJ192" s="17"/>
      <c r="QFK192" s="17"/>
      <c r="QFL192" s="17"/>
      <c r="QFM192" s="17"/>
      <c r="QFN192" s="17"/>
      <c r="QFO192" s="17"/>
      <c r="QFP192" s="17"/>
      <c r="QFQ192" s="17"/>
      <c r="QFR192" s="17"/>
      <c r="QFS192" s="17"/>
      <c r="QFT192" s="17"/>
      <c r="QFU192" s="17"/>
      <c r="QFV192" s="17"/>
      <c r="QFW192" s="17"/>
      <c r="QFX192" s="17"/>
      <c r="QFY192" s="17"/>
      <c r="QFZ192" s="17"/>
      <c r="QGA192" s="17"/>
      <c r="QGB192" s="17"/>
      <c r="QGC192" s="17"/>
      <c r="QGD192" s="17"/>
      <c r="QGE192" s="17"/>
      <c r="QGF192" s="17"/>
      <c r="QGG192" s="17"/>
      <c r="QGH192" s="17"/>
      <c r="QGI192" s="17"/>
      <c r="QGJ192" s="17"/>
      <c r="QGK192" s="17"/>
      <c r="QGL192" s="17"/>
      <c r="QGM192" s="17"/>
      <c r="QGN192" s="17"/>
      <c r="QGO192" s="17"/>
      <c r="QGP192" s="17"/>
      <c r="QGQ192" s="17"/>
      <c r="QGR192" s="17"/>
      <c r="QGS192" s="17"/>
      <c r="QGT192" s="17"/>
      <c r="QGU192" s="17"/>
      <c r="QGV192" s="17"/>
      <c r="QGW192" s="17"/>
      <c r="QGX192" s="17"/>
      <c r="QGY192" s="17"/>
      <c r="QGZ192" s="17"/>
      <c r="QHA192" s="17"/>
      <c r="QHB192" s="17"/>
      <c r="QHC192" s="17"/>
      <c r="QHD192" s="17"/>
      <c r="QHE192" s="17"/>
      <c r="QHF192" s="17"/>
      <c r="QHG192" s="17"/>
      <c r="QHH192" s="17"/>
      <c r="QHI192" s="17"/>
      <c r="QHJ192" s="17"/>
      <c r="QHK192" s="17"/>
      <c r="QHL192" s="17"/>
      <c r="QHM192" s="17"/>
      <c r="QHN192" s="17"/>
      <c r="QHO192" s="17"/>
      <c r="QHP192" s="17"/>
      <c r="QHQ192" s="17"/>
      <c r="QHR192" s="17"/>
      <c r="QHS192" s="17"/>
      <c r="QHT192" s="17"/>
      <c r="QHU192" s="17"/>
      <c r="QHV192" s="17"/>
      <c r="QHW192" s="17"/>
      <c r="QHX192" s="17"/>
      <c r="QHY192" s="17"/>
      <c r="QHZ192" s="17"/>
      <c r="QIA192" s="17"/>
      <c r="QIB192" s="17"/>
      <c r="QIC192" s="17"/>
      <c r="QID192" s="17"/>
      <c r="QIE192" s="17"/>
      <c r="QIF192" s="17"/>
      <c r="QIG192" s="17"/>
      <c r="QIH192" s="17"/>
      <c r="QII192" s="17"/>
      <c r="QIJ192" s="17"/>
      <c r="QIK192" s="17"/>
      <c r="QIL192" s="17"/>
      <c r="QIM192" s="17"/>
      <c r="QIN192" s="17"/>
      <c r="QIO192" s="17"/>
      <c r="QIP192" s="17"/>
      <c r="QIQ192" s="17"/>
      <c r="QIR192" s="17"/>
      <c r="QIS192" s="17"/>
      <c r="QIT192" s="17"/>
      <c r="QIU192" s="17"/>
      <c r="QIV192" s="17"/>
      <c r="QIW192" s="17"/>
      <c r="QIX192" s="17"/>
      <c r="QIY192" s="17"/>
      <c r="QIZ192" s="17"/>
      <c r="QJA192" s="17"/>
      <c r="QJB192" s="17"/>
      <c r="QJC192" s="17"/>
      <c r="QJD192" s="17"/>
      <c r="QJE192" s="17"/>
      <c r="QJF192" s="17"/>
      <c r="QJG192" s="17"/>
      <c r="QJH192" s="17"/>
      <c r="QJI192" s="17"/>
      <c r="QJJ192" s="17"/>
      <c r="QJK192" s="17"/>
      <c r="QJL192" s="17"/>
      <c r="QJM192" s="17"/>
      <c r="QJN192" s="17"/>
      <c r="QJO192" s="17"/>
      <c r="QJP192" s="17"/>
      <c r="QJQ192" s="17"/>
      <c r="QJR192" s="17"/>
      <c r="QJS192" s="17"/>
      <c r="QJT192" s="17"/>
      <c r="QJU192" s="17"/>
      <c r="QJV192" s="17"/>
      <c r="QJW192" s="17"/>
      <c r="QJX192" s="17"/>
      <c r="QJY192" s="17"/>
      <c r="QJZ192" s="17"/>
      <c r="QKA192" s="17"/>
      <c r="QKB192" s="17"/>
      <c r="QKC192" s="17"/>
      <c r="QKD192" s="17"/>
      <c r="QKE192" s="17"/>
      <c r="QKF192" s="17"/>
      <c r="QKG192" s="17"/>
      <c r="QKH192" s="17"/>
      <c r="QKI192" s="17"/>
      <c r="QKJ192" s="17"/>
      <c r="QKK192" s="17"/>
      <c r="QKL192" s="17"/>
      <c r="QKM192" s="17"/>
      <c r="QKN192" s="17"/>
      <c r="QKO192" s="17"/>
      <c r="QKP192" s="17"/>
      <c r="QKQ192" s="17"/>
      <c r="QKR192" s="17"/>
      <c r="QKS192" s="17"/>
      <c r="QKT192" s="17"/>
      <c r="QKU192" s="17"/>
      <c r="QKV192" s="17"/>
      <c r="QKW192" s="17"/>
      <c r="QKX192" s="17"/>
      <c r="QKY192" s="17"/>
      <c r="QKZ192" s="17"/>
      <c r="QLA192" s="17"/>
      <c r="QLB192" s="17"/>
      <c r="QLC192" s="17"/>
      <c r="QLD192" s="17"/>
      <c r="QLE192" s="17"/>
      <c r="QLF192" s="17"/>
      <c r="QLG192" s="17"/>
      <c r="QLH192" s="17"/>
      <c r="QLI192" s="17"/>
      <c r="QLJ192" s="17"/>
      <c r="QLK192" s="17"/>
      <c r="QLL192" s="17"/>
      <c r="QLM192" s="17"/>
      <c r="QLN192" s="17"/>
      <c r="QLO192" s="17"/>
      <c r="QLP192" s="17"/>
      <c r="QLQ192" s="17"/>
      <c r="QLR192" s="17"/>
      <c r="QLS192" s="17"/>
      <c r="QLT192" s="17"/>
      <c r="QLU192" s="17"/>
      <c r="QLV192" s="17"/>
      <c r="QLW192" s="17"/>
      <c r="QLX192" s="17"/>
      <c r="QLY192" s="17"/>
      <c r="QLZ192" s="17"/>
      <c r="QMA192" s="17"/>
      <c r="QMB192" s="17"/>
      <c r="QMC192" s="17"/>
      <c r="QMD192" s="17"/>
      <c r="QME192" s="17"/>
      <c r="QMF192" s="17"/>
      <c r="QMG192" s="17"/>
      <c r="QMH192" s="17"/>
      <c r="QMI192" s="17"/>
      <c r="QMJ192" s="17"/>
      <c r="QMK192" s="17"/>
      <c r="QML192" s="17"/>
      <c r="QMM192" s="17"/>
      <c r="QMN192" s="17"/>
      <c r="QMO192" s="17"/>
      <c r="QMP192" s="17"/>
      <c r="QMQ192" s="17"/>
      <c r="QMR192" s="17"/>
      <c r="QMS192" s="17"/>
      <c r="QMT192" s="17"/>
      <c r="QMU192" s="17"/>
      <c r="QMV192" s="17"/>
      <c r="QMW192" s="17"/>
      <c r="QMX192" s="17"/>
      <c r="QMY192" s="17"/>
      <c r="QMZ192" s="17"/>
      <c r="QNA192" s="17"/>
      <c r="QNB192" s="17"/>
      <c r="QNC192" s="17"/>
      <c r="QND192" s="17"/>
      <c r="QNE192" s="17"/>
      <c r="QNF192" s="17"/>
      <c r="QNG192" s="17"/>
      <c r="QNH192" s="17"/>
      <c r="QNI192" s="17"/>
      <c r="QNJ192" s="17"/>
      <c r="QNK192" s="17"/>
      <c r="QNL192" s="17"/>
      <c r="QNM192" s="17"/>
      <c r="QNN192" s="17"/>
      <c r="QNO192" s="17"/>
      <c r="QNP192" s="17"/>
      <c r="QNQ192" s="17"/>
      <c r="QNR192" s="17"/>
      <c r="QNS192" s="17"/>
      <c r="QNT192" s="17"/>
      <c r="QNU192" s="17"/>
      <c r="QNV192" s="17"/>
      <c r="QNW192" s="17"/>
      <c r="QNX192" s="17"/>
      <c r="QNY192" s="17"/>
      <c r="QNZ192" s="17"/>
      <c r="QOA192" s="17"/>
      <c r="QOB192" s="17"/>
      <c r="QOC192" s="17"/>
      <c r="QOD192" s="17"/>
      <c r="QOE192" s="17"/>
      <c r="QOF192" s="17"/>
      <c r="QOG192" s="17"/>
      <c r="QOH192" s="17"/>
      <c r="QOI192" s="17"/>
      <c r="QOJ192" s="17"/>
      <c r="QOK192" s="17"/>
      <c r="QOL192" s="17"/>
      <c r="QOM192" s="17"/>
      <c r="QON192" s="17"/>
      <c r="QOO192" s="17"/>
      <c r="QOP192" s="17"/>
      <c r="QOQ192" s="17"/>
      <c r="QOR192" s="17"/>
      <c r="QOS192" s="17"/>
      <c r="QOT192" s="17"/>
      <c r="QOU192" s="17"/>
      <c r="QOV192" s="17"/>
      <c r="QOW192" s="17"/>
      <c r="QOX192" s="17"/>
      <c r="QOY192" s="17"/>
      <c r="QOZ192" s="17"/>
      <c r="QPA192" s="17"/>
      <c r="QPB192" s="17"/>
      <c r="QPC192" s="17"/>
      <c r="QPD192" s="17"/>
      <c r="QPE192" s="17"/>
      <c r="QPF192" s="17"/>
      <c r="QPG192" s="17"/>
      <c r="QPH192" s="17"/>
      <c r="QPI192" s="17"/>
      <c r="QPJ192" s="17"/>
      <c r="QPK192" s="17"/>
      <c r="QPL192" s="17"/>
      <c r="QPM192" s="17"/>
      <c r="QPN192" s="17"/>
      <c r="QPO192" s="17"/>
      <c r="QPP192" s="17"/>
      <c r="QPQ192" s="17"/>
      <c r="QPR192" s="17"/>
      <c r="QPS192" s="17"/>
      <c r="QPT192" s="17"/>
      <c r="QPU192" s="17"/>
      <c r="QPV192" s="17"/>
      <c r="QPW192" s="17"/>
      <c r="QPX192" s="17"/>
      <c r="QPY192" s="17"/>
      <c r="QPZ192" s="17"/>
      <c r="QQA192" s="17"/>
      <c r="QQB192" s="17"/>
      <c r="QQC192" s="17"/>
      <c r="QQD192" s="17"/>
      <c r="QQE192" s="17"/>
      <c r="QQF192" s="17"/>
      <c r="QQG192" s="17"/>
      <c r="QQH192" s="17"/>
      <c r="QQI192" s="17"/>
      <c r="QQJ192" s="17"/>
      <c r="QQK192" s="17"/>
      <c r="QQL192" s="17"/>
      <c r="QQM192" s="17"/>
      <c r="QQN192" s="17"/>
      <c r="QQO192" s="17"/>
      <c r="QQP192" s="17"/>
      <c r="QQQ192" s="17"/>
      <c r="QQR192" s="17"/>
      <c r="QQS192" s="17"/>
      <c r="QQT192" s="17"/>
      <c r="QQU192" s="17"/>
      <c r="QQV192" s="17"/>
      <c r="QQW192" s="17"/>
      <c r="QQX192" s="17"/>
      <c r="QQY192" s="17"/>
      <c r="QQZ192" s="17"/>
      <c r="QRA192" s="17"/>
      <c r="QRB192" s="17"/>
      <c r="QRC192" s="17"/>
      <c r="QRD192" s="17"/>
      <c r="QRE192" s="17"/>
      <c r="QRF192" s="17"/>
      <c r="QRG192" s="17"/>
      <c r="QRH192" s="17"/>
      <c r="QRI192" s="17"/>
      <c r="QRJ192" s="17"/>
      <c r="QRK192" s="17"/>
      <c r="QRL192" s="17"/>
      <c r="QRM192" s="17"/>
      <c r="QRN192" s="17"/>
      <c r="QRO192" s="17"/>
      <c r="QRP192" s="17"/>
      <c r="QRQ192" s="17"/>
      <c r="QRR192" s="17"/>
      <c r="QRS192" s="17"/>
      <c r="QRT192" s="17"/>
      <c r="QRU192" s="17"/>
      <c r="QRV192" s="17"/>
      <c r="QRW192" s="17"/>
      <c r="QRX192" s="17"/>
      <c r="QRY192" s="17"/>
      <c r="QRZ192" s="17"/>
      <c r="QSA192" s="17"/>
      <c r="QSB192" s="17"/>
      <c r="QSC192" s="17"/>
      <c r="QSD192" s="17"/>
      <c r="QSE192" s="17"/>
      <c r="QSF192" s="17"/>
      <c r="QSG192" s="17"/>
      <c r="QSH192" s="17"/>
      <c r="QSI192" s="17"/>
      <c r="QSJ192" s="17"/>
      <c r="QSK192" s="17"/>
      <c r="QSL192" s="17"/>
      <c r="QSM192" s="17"/>
      <c r="QSN192" s="17"/>
      <c r="QSO192" s="17"/>
      <c r="QSP192" s="17"/>
      <c r="QSQ192" s="17"/>
      <c r="QSR192" s="17"/>
      <c r="QSS192" s="17"/>
      <c r="QST192" s="17"/>
      <c r="QSU192" s="17"/>
      <c r="QSV192" s="17"/>
      <c r="QSW192" s="17"/>
      <c r="QSX192" s="17"/>
      <c r="QSY192" s="17"/>
      <c r="QSZ192" s="17"/>
      <c r="QTA192" s="17"/>
      <c r="QTB192" s="17"/>
      <c r="QTC192" s="17"/>
      <c r="QTD192" s="17"/>
      <c r="QTE192" s="17"/>
      <c r="QTF192" s="17"/>
      <c r="QTG192" s="17"/>
      <c r="QTH192" s="17"/>
      <c r="QTI192" s="17"/>
      <c r="QTJ192" s="17"/>
      <c r="QTK192" s="17"/>
      <c r="QTL192" s="17"/>
      <c r="QTM192" s="17"/>
      <c r="QTN192" s="17"/>
      <c r="QTO192" s="17"/>
      <c r="QTP192" s="17"/>
      <c r="QTQ192" s="17"/>
      <c r="QTR192" s="17"/>
      <c r="QTS192" s="17"/>
      <c r="QTT192" s="17"/>
      <c r="QTU192" s="17"/>
      <c r="QTV192" s="17"/>
      <c r="QTW192" s="17"/>
      <c r="QTX192" s="17"/>
      <c r="QTY192" s="17"/>
      <c r="QTZ192" s="17"/>
      <c r="QUA192" s="17"/>
      <c r="QUB192" s="17"/>
      <c r="QUC192" s="17"/>
      <c r="QUD192" s="17"/>
      <c r="QUE192" s="17"/>
      <c r="QUF192" s="17"/>
      <c r="QUG192" s="17"/>
      <c r="QUH192" s="17"/>
      <c r="QUI192" s="17"/>
      <c r="QUJ192" s="17"/>
      <c r="QUK192" s="17"/>
      <c r="QUL192" s="17"/>
      <c r="QUM192" s="17"/>
      <c r="QUN192" s="17"/>
      <c r="QUO192" s="17"/>
      <c r="QUP192" s="17"/>
      <c r="QUQ192" s="17"/>
      <c r="QUR192" s="17"/>
      <c r="QUS192" s="17"/>
      <c r="QUT192" s="17"/>
      <c r="QUU192" s="17"/>
      <c r="QUV192" s="17"/>
      <c r="QUW192" s="17"/>
      <c r="QUX192" s="17"/>
      <c r="QUY192" s="17"/>
      <c r="QUZ192" s="17"/>
      <c r="QVA192" s="17"/>
      <c r="QVB192" s="17"/>
      <c r="QVC192" s="17"/>
      <c r="QVD192" s="17"/>
      <c r="QVE192" s="17"/>
      <c r="QVF192" s="17"/>
      <c r="QVG192" s="17"/>
      <c r="QVH192" s="17"/>
      <c r="QVI192" s="17"/>
      <c r="QVJ192" s="17"/>
      <c r="QVK192" s="17"/>
      <c r="QVL192" s="17"/>
      <c r="QVM192" s="17"/>
      <c r="QVN192" s="17"/>
      <c r="QVO192" s="17"/>
      <c r="QVP192" s="17"/>
      <c r="QVQ192" s="17"/>
      <c r="QVR192" s="17"/>
      <c r="QVS192" s="17"/>
      <c r="QVT192" s="17"/>
      <c r="QVU192" s="17"/>
      <c r="QVV192" s="17"/>
      <c r="QVW192" s="17"/>
      <c r="QVX192" s="17"/>
      <c r="QVY192" s="17"/>
      <c r="QVZ192" s="17"/>
      <c r="QWA192" s="17"/>
      <c r="QWB192" s="17"/>
      <c r="QWC192" s="17"/>
      <c r="QWD192" s="17"/>
      <c r="QWE192" s="17"/>
      <c r="QWF192" s="17"/>
      <c r="QWG192" s="17"/>
      <c r="QWH192" s="17"/>
      <c r="QWI192" s="17"/>
      <c r="QWJ192" s="17"/>
      <c r="QWK192" s="17"/>
      <c r="QWL192" s="17"/>
      <c r="QWM192" s="17"/>
      <c r="QWN192" s="17"/>
      <c r="QWO192" s="17"/>
      <c r="QWP192" s="17"/>
      <c r="QWQ192" s="17"/>
      <c r="QWR192" s="17"/>
      <c r="QWS192" s="17"/>
      <c r="QWT192" s="17"/>
      <c r="QWU192" s="17"/>
      <c r="QWV192" s="17"/>
      <c r="QWW192" s="17"/>
      <c r="QWX192" s="17"/>
      <c r="QWY192" s="17"/>
      <c r="QWZ192" s="17"/>
      <c r="QXA192" s="17"/>
      <c r="QXB192" s="17"/>
      <c r="QXC192" s="17"/>
      <c r="QXD192" s="17"/>
      <c r="QXE192" s="17"/>
      <c r="QXF192" s="17"/>
      <c r="QXG192" s="17"/>
      <c r="QXH192" s="17"/>
      <c r="QXI192" s="17"/>
      <c r="QXJ192" s="17"/>
      <c r="QXK192" s="17"/>
      <c r="QXL192" s="17"/>
      <c r="QXM192" s="17"/>
      <c r="QXN192" s="17"/>
      <c r="QXO192" s="17"/>
      <c r="QXP192" s="17"/>
      <c r="QXQ192" s="17"/>
      <c r="QXR192" s="17"/>
      <c r="QXS192" s="17"/>
      <c r="QXT192" s="17"/>
      <c r="QXU192" s="17"/>
      <c r="QXV192" s="17"/>
      <c r="QXW192" s="17"/>
      <c r="QXX192" s="17"/>
      <c r="QXY192" s="17"/>
      <c r="QXZ192" s="17"/>
      <c r="QYA192" s="17"/>
      <c r="QYB192" s="17"/>
      <c r="QYC192" s="17"/>
      <c r="QYD192" s="17"/>
      <c r="QYE192" s="17"/>
      <c r="QYF192" s="17"/>
      <c r="QYG192" s="17"/>
      <c r="QYH192" s="17"/>
      <c r="QYI192" s="17"/>
      <c r="QYJ192" s="17"/>
      <c r="QYK192" s="17"/>
      <c r="QYL192" s="17"/>
      <c r="QYM192" s="17"/>
      <c r="QYN192" s="17"/>
      <c r="QYO192" s="17"/>
      <c r="QYP192" s="17"/>
      <c r="QYQ192" s="17"/>
      <c r="QYR192" s="17"/>
      <c r="QYS192" s="17"/>
      <c r="QYT192" s="17"/>
      <c r="QYU192" s="17"/>
      <c r="QYV192" s="17"/>
      <c r="QYW192" s="17"/>
      <c r="QYX192" s="17"/>
      <c r="QYY192" s="17"/>
      <c r="QYZ192" s="17"/>
      <c r="QZA192" s="17"/>
      <c r="QZB192" s="17"/>
      <c r="QZC192" s="17"/>
      <c r="QZD192" s="17"/>
      <c r="QZE192" s="17"/>
      <c r="QZF192" s="17"/>
      <c r="QZG192" s="17"/>
      <c r="QZH192" s="17"/>
      <c r="QZI192" s="17"/>
      <c r="QZJ192" s="17"/>
      <c r="QZK192" s="17"/>
      <c r="QZL192" s="17"/>
      <c r="QZM192" s="17"/>
      <c r="QZN192" s="17"/>
      <c r="QZO192" s="17"/>
      <c r="QZP192" s="17"/>
      <c r="QZQ192" s="17"/>
      <c r="QZR192" s="17"/>
      <c r="QZS192" s="17"/>
      <c r="QZT192" s="17"/>
      <c r="QZU192" s="17"/>
      <c r="QZV192" s="17"/>
      <c r="QZW192" s="17"/>
      <c r="QZX192" s="17"/>
      <c r="QZY192" s="17"/>
      <c r="QZZ192" s="17"/>
      <c r="RAA192" s="17"/>
      <c r="RAB192" s="17"/>
      <c r="RAC192" s="17"/>
      <c r="RAD192" s="17"/>
      <c r="RAE192" s="17"/>
      <c r="RAF192" s="17"/>
      <c r="RAG192" s="17"/>
      <c r="RAH192" s="17"/>
      <c r="RAI192" s="17"/>
      <c r="RAJ192" s="17"/>
      <c r="RAK192" s="17"/>
      <c r="RAL192" s="17"/>
      <c r="RAM192" s="17"/>
      <c r="RAN192" s="17"/>
      <c r="RAO192" s="17"/>
      <c r="RAP192" s="17"/>
      <c r="RAQ192" s="17"/>
      <c r="RAR192" s="17"/>
      <c r="RAS192" s="17"/>
      <c r="RAT192" s="17"/>
      <c r="RAU192" s="17"/>
      <c r="RAV192" s="17"/>
      <c r="RAW192" s="17"/>
      <c r="RAX192" s="17"/>
      <c r="RAY192" s="17"/>
      <c r="RAZ192" s="17"/>
      <c r="RBA192" s="17"/>
      <c r="RBB192" s="17"/>
      <c r="RBC192" s="17"/>
      <c r="RBD192" s="17"/>
      <c r="RBE192" s="17"/>
      <c r="RBF192" s="17"/>
      <c r="RBG192" s="17"/>
      <c r="RBH192" s="17"/>
      <c r="RBI192" s="17"/>
      <c r="RBJ192" s="17"/>
      <c r="RBK192" s="17"/>
      <c r="RBL192" s="17"/>
      <c r="RBM192" s="17"/>
      <c r="RBN192" s="17"/>
      <c r="RBO192" s="17"/>
      <c r="RBP192" s="17"/>
      <c r="RBQ192" s="17"/>
      <c r="RBR192" s="17"/>
      <c r="RBS192" s="17"/>
      <c r="RBT192" s="17"/>
      <c r="RBU192" s="17"/>
      <c r="RBV192" s="17"/>
      <c r="RBW192" s="17"/>
      <c r="RBX192" s="17"/>
      <c r="RBY192" s="17"/>
      <c r="RBZ192" s="17"/>
      <c r="RCA192" s="17"/>
      <c r="RCB192" s="17"/>
      <c r="RCC192" s="17"/>
      <c r="RCD192" s="17"/>
      <c r="RCE192" s="17"/>
      <c r="RCF192" s="17"/>
      <c r="RCG192" s="17"/>
      <c r="RCH192" s="17"/>
      <c r="RCI192" s="17"/>
      <c r="RCJ192" s="17"/>
      <c r="RCK192" s="17"/>
      <c r="RCL192" s="17"/>
      <c r="RCM192" s="17"/>
      <c r="RCN192" s="17"/>
      <c r="RCO192" s="17"/>
      <c r="RCP192" s="17"/>
      <c r="RCQ192" s="17"/>
      <c r="RCR192" s="17"/>
      <c r="RCS192" s="17"/>
      <c r="RCT192" s="17"/>
      <c r="RCU192" s="17"/>
      <c r="RCV192" s="17"/>
      <c r="RCW192" s="17"/>
      <c r="RCX192" s="17"/>
      <c r="RCY192" s="17"/>
      <c r="RCZ192" s="17"/>
      <c r="RDA192" s="17"/>
      <c r="RDB192" s="17"/>
      <c r="RDC192" s="17"/>
      <c r="RDD192" s="17"/>
      <c r="RDE192" s="17"/>
      <c r="RDF192" s="17"/>
      <c r="RDG192" s="17"/>
      <c r="RDH192" s="17"/>
      <c r="RDI192" s="17"/>
      <c r="RDJ192" s="17"/>
      <c r="RDK192" s="17"/>
      <c r="RDL192" s="17"/>
      <c r="RDM192" s="17"/>
      <c r="RDN192" s="17"/>
      <c r="RDO192" s="17"/>
      <c r="RDP192" s="17"/>
      <c r="RDQ192" s="17"/>
      <c r="RDR192" s="17"/>
      <c r="RDS192" s="17"/>
      <c r="RDT192" s="17"/>
      <c r="RDU192" s="17"/>
      <c r="RDV192" s="17"/>
      <c r="RDW192" s="17"/>
      <c r="RDX192" s="17"/>
      <c r="RDY192" s="17"/>
      <c r="RDZ192" s="17"/>
      <c r="REA192" s="17"/>
      <c r="REB192" s="17"/>
      <c r="REC192" s="17"/>
      <c r="RED192" s="17"/>
      <c r="REE192" s="17"/>
      <c r="REF192" s="17"/>
      <c r="REG192" s="17"/>
      <c r="REH192" s="17"/>
      <c r="REI192" s="17"/>
      <c r="REJ192" s="17"/>
      <c r="REK192" s="17"/>
      <c r="REL192" s="17"/>
      <c r="REM192" s="17"/>
      <c r="REN192" s="17"/>
      <c r="REO192" s="17"/>
      <c r="REP192" s="17"/>
      <c r="REQ192" s="17"/>
      <c r="RER192" s="17"/>
      <c r="RES192" s="17"/>
      <c r="RET192" s="17"/>
      <c r="REU192" s="17"/>
      <c r="REV192" s="17"/>
      <c r="REW192" s="17"/>
      <c r="REX192" s="17"/>
      <c r="REY192" s="17"/>
      <c r="REZ192" s="17"/>
      <c r="RFA192" s="17"/>
      <c r="RFB192" s="17"/>
      <c r="RFC192" s="17"/>
      <c r="RFD192" s="17"/>
      <c r="RFE192" s="17"/>
      <c r="RFF192" s="17"/>
      <c r="RFG192" s="17"/>
      <c r="RFH192" s="17"/>
      <c r="RFI192" s="17"/>
      <c r="RFJ192" s="17"/>
      <c r="RFK192" s="17"/>
      <c r="RFL192" s="17"/>
      <c r="RFM192" s="17"/>
      <c r="RFN192" s="17"/>
      <c r="RFO192" s="17"/>
      <c r="RFP192" s="17"/>
      <c r="RFQ192" s="17"/>
      <c r="RFR192" s="17"/>
      <c r="RFS192" s="17"/>
      <c r="RFT192" s="17"/>
      <c r="RFU192" s="17"/>
      <c r="RFV192" s="17"/>
      <c r="RFW192" s="17"/>
      <c r="RFX192" s="17"/>
      <c r="RFY192" s="17"/>
      <c r="RFZ192" s="17"/>
      <c r="RGA192" s="17"/>
      <c r="RGB192" s="17"/>
      <c r="RGC192" s="17"/>
      <c r="RGD192" s="17"/>
      <c r="RGE192" s="17"/>
      <c r="RGF192" s="17"/>
      <c r="RGG192" s="17"/>
      <c r="RGH192" s="17"/>
      <c r="RGI192" s="17"/>
      <c r="RGJ192" s="17"/>
      <c r="RGK192" s="17"/>
      <c r="RGL192" s="17"/>
      <c r="RGM192" s="17"/>
      <c r="RGN192" s="17"/>
      <c r="RGO192" s="17"/>
      <c r="RGP192" s="17"/>
      <c r="RGQ192" s="17"/>
      <c r="RGR192" s="17"/>
      <c r="RGS192" s="17"/>
      <c r="RGT192" s="17"/>
      <c r="RGU192" s="17"/>
      <c r="RGV192" s="17"/>
      <c r="RGW192" s="17"/>
      <c r="RGX192" s="17"/>
      <c r="RGY192" s="17"/>
      <c r="RGZ192" s="17"/>
      <c r="RHA192" s="17"/>
      <c r="RHB192" s="17"/>
      <c r="RHC192" s="17"/>
      <c r="RHD192" s="17"/>
      <c r="RHE192" s="17"/>
      <c r="RHF192" s="17"/>
      <c r="RHG192" s="17"/>
      <c r="RHH192" s="17"/>
      <c r="RHI192" s="17"/>
      <c r="RHJ192" s="17"/>
      <c r="RHK192" s="17"/>
      <c r="RHL192" s="17"/>
      <c r="RHM192" s="17"/>
      <c r="RHN192" s="17"/>
      <c r="RHO192" s="17"/>
      <c r="RHP192" s="17"/>
      <c r="RHQ192" s="17"/>
      <c r="RHR192" s="17"/>
      <c r="RHS192" s="17"/>
      <c r="RHT192" s="17"/>
      <c r="RHU192" s="17"/>
      <c r="RHV192" s="17"/>
      <c r="RHW192" s="17"/>
      <c r="RHX192" s="17"/>
      <c r="RHY192" s="17"/>
      <c r="RHZ192" s="17"/>
      <c r="RIA192" s="17"/>
      <c r="RIB192" s="17"/>
      <c r="RIC192" s="17"/>
      <c r="RID192" s="17"/>
      <c r="RIE192" s="17"/>
      <c r="RIF192" s="17"/>
      <c r="RIG192" s="17"/>
      <c r="RIH192" s="17"/>
      <c r="RII192" s="17"/>
      <c r="RIJ192" s="17"/>
      <c r="RIK192" s="17"/>
      <c r="RIL192" s="17"/>
      <c r="RIM192" s="17"/>
      <c r="RIN192" s="17"/>
      <c r="RIO192" s="17"/>
      <c r="RIP192" s="17"/>
      <c r="RIQ192" s="17"/>
      <c r="RIR192" s="17"/>
      <c r="RIS192" s="17"/>
      <c r="RIT192" s="17"/>
      <c r="RIU192" s="17"/>
      <c r="RIV192" s="17"/>
      <c r="RIW192" s="17"/>
      <c r="RIX192" s="17"/>
      <c r="RIY192" s="17"/>
      <c r="RIZ192" s="17"/>
      <c r="RJA192" s="17"/>
      <c r="RJB192" s="17"/>
      <c r="RJC192" s="17"/>
      <c r="RJD192" s="17"/>
      <c r="RJE192" s="17"/>
      <c r="RJF192" s="17"/>
      <c r="RJG192" s="17"/>
      <c r="RJH192" s="17"/>
      <c r="RJI192" s="17"/>
      <c r="RJJ192" s="17"/>
      <c r="RJK192" s="17"/>
      <c r="RJL192" s="17"/>
      <c r="RJM192" s="17"/>
      <c r="RJN192" s="17"/>
      <c r="RJO192" s="17"/>
      <c r="RJP192" s="17"/>
      <c r="RJQ192" s="17"/>
      <c r="RJR192" s="17"/>
      <c r="RJS192" s="17"/>
      <c r="RJT192" s="17"/>
      <c r="RJU192" s="17"/>
      <c r="RJV192" s="17"/>
      <c r="RJW192" s="17"/>
      <c r="RJX192" s="17"/>
      <c r="RJY192" s="17"/>
      <c r="RJZ192" s="17"/>
      <c r="RKA192" s="17"/>
      <c r="RKB192" s="17"/>
      <c r="RKC192" s="17"/>
      <c r="RKD192" s="17"/>
      <c r="RKE192" s="17"/>
      <c r="RKF192" s="17"/>
      <c r="RKG192" s="17"/>
      <c r="RKH192" s="17"/>
      <c r="RKI192" s="17"/>
      <c r="RKJ192" s="17"/>
      <c r="RKK192" s="17"/>
      <c r="RKL192" s="17"/>
      <c r="RKM192" s="17"/>
      <c r="RKN192" s="17"/>
      <c r="RKO192" s="17"/>
      <c r="RKP192" s="17"/>
      <c r="RKQ192" s="17"/>
      <c r="RKR192" s="17"/>
      <c r="RKS192" s="17"/>
      <c r="RKT192" s="17"/>
      <c r="RKU192" s="17"/>
      <c r="RKV192" s="17"/>
      <c r="RKW192" s="17"/>
      <c r="RKX192" s="17"/>
      <c r="RKY192" s="17"/>
      <c r="RKZ192" s="17"/>
      <c r="RLA192" s="17"/>
      <c r="RLB192" s="17"/>
      <c r="RLC192" s="17"/>
      <c r="RLD192" s="17"/>
      <c r="RLE192" s="17"/>
      <c r="RLF192" s="17"/>
      <c r="RLG192" s="17"/>
      <c r="RLH192" s="17"/>
      <c r="RLI192" s="17"/>
      <c r="RLJ192" s="17"/>
      <c r="RLK192" s="17"/>
      <c r="RLL192" s="17"/>
      <c r="RLM192" s="17"/>
      <c r="RLN192" s="17"/>
      <c r="RLO192" s="17"/>
      <c r="RLP192" s="17"/>
      <c r="RLQ192" s="17"/>
      <c r="RLR192" s="17"/>
      <c r="RLS192" s="17"/>
      <c r="RLT192" s="17"/>
      <c r="RLU192" s="17"/>
      <c r="RLV192" s="17"/>
      <c r="RLW192" s="17"/>
      <c r="RLX192" s="17"/>
      <c r="RLY192" s="17"/>
      <c r="RLZ192" s="17"/>
      <c r="RMA192" s="17"/>
      <c r="RMB192" s="17"/>
      <c r="RMC192" s="17"/>
      <c r="RMD192" s="17"/>
      <c r="RME192" s="17"/>
      <c r="RMF192" s="17"/>
      <c r="RMG192" s="17"/>
      <c r="RMH192" s="17"/>
      <c r="RMI192" s="17"/>
      <c r="RMJ192" s="17"/>
      <c r="RMK192" s="17"/>
      <c r="RML192" s="17"/>
      <c r="RMM192" s="17"/>
      <c r="RMN192" s="17"/>
      <c r="RMO192" s="17"/>
      <c r="RMP192" s="17"/>
      <c r="RMQ192" s="17"/>
      <c r="RMR192" s="17"/>
      <c r="RMS192" s="17"/>
      <c r="RMT192" s="17"/>
      <c r="RMU192" s="17"/>
      <c r="RMV192" s="17"/>
      <c r="RMW192" s="17"/>
      <c r="RMX192" s="17"/>
      <c r="RMY192" s="17"/>
      <c r="RMZ192" s="17"/>
      <c r="RNA192" s="17"/>
      <c r="RNB192" s="17"/>
      <c r="RNC192" s="17"/>
      <c r="RND192" s="17"/>
      <c r="RNE192" s="17"/>
      <c r="RNF192" s="17"/>
      <c r="RNG192" s="17"/>
      <c r="RNH192" s="17"/>
      <c r="RNI192" s="17"/>
      <c r="RNJ192" s="17"/>
      <c r="RNK192" s="17"/>
      <c r="RNL192" s="17"/>
      <c r="RNM192" s="17"/>
      <c r="RNN192" s="17"/>
      <c r="RNO192" s="17"/>
      <c r="RNP192" s="17"/>
      <c r="RNQ192" s="17"/>
      <c r="RNR192" s="17"/>
      <c r="RNS192" s="17"/>
      <c r="RNT192" s="17"/>
      <c r="RNU192" s="17"/>
      <c r="RNV192" s="17"/>
      <c r="RNW192" s="17"/>
      <c r="RNX192" s="17"/>
      <c r="RNY192" s="17"/>
      <c r="RNZ192" s="17"/>
      <c r="ROA192" s="17"/>
      <c r="ROB192" s="17"/>
      <c r="ROC192" s="17"/>
      <c r="ROD192" s="17"/>
      <c r="ROE192" s="17"/>
      <c r="ROF192" s="17"/>
      <c r="ROG192" s="17"/>
      <c r="ROH192" s="17"/>
      <c r="ROI192" s="17"/>
      <c r="ROJ192" s="17"/>
      <c r="ROK192" s="17"/>
      <c r="ROL192" s="17"/>
      <c r="ROM192" s="17"/>
      <c r="RON192" s="17"/>
      <c r="ROO192" s="17"/>
      <c r="ROP192" s="17"/>
      <c r="ROQ192" s="17"/>
      <c r="ROR192" s="17"/>
      <c r="ROS192" s="17"/>
      <c r="ROT192" s="17"/>
      <c r="ROU192" s="17"/>
      <c r="ROV192" s="17"/>
      <c r="ROW192" s="17"/>
      <c r="ROX192" s="17"/>
      <c r="ROY192" s="17"/>
      <c r="ROZ192" s="17"/>
      <c r="RPA192" s="17"/>
      <c r="RPB192" s="17"/>
      <c r="RPC192" s="17"/>
      <c r="RPD192" s="17"/>
      <c r="RPE192" s="17"/>
      <c r="RPF192" s="17"/>
      <c r="RPG192" s="17"/>
      <c r="RPH192" s="17"/>
      <c r="RPI192" s="17"/>
      <c r="RPJ192" s="17"/>
      <c r="RPK192" s="17"/>
      <c r="RPL192" s="17"/>
      <c r="RPM192" s="17"/>
      <c r="RPN192" s="17"/>
      <c r="RPO192" s="17"/>
      <c r="RPP192" s="17"/>
      <c r="RPQ192" s="17"/>
      <c r="RPR192" s="17"/>
      <c r="RPS192" s="17"/>
      <c r="RPT192" s="17"/>
      <c r="RPU192" s="17"/>
      <c r="RPV192" s="17"/>
      <c r="RPW192" s="17"/>
      <c r="RPX192" s="17"/>
      <c r="RPY192" s="17"/>
      <c r="RPZ192" s="17"/>
      <c r="RQA192" s="17"/>
      <c r="RQB192" s="17"/>
      <c r="RQC192" s="17"/>
      <c r="RQD192" s="17"/>
      <c r="RQE192" s="17"/>
      <c r="RQF192" s="17"/>
      <c r="RQG192" s="17"/>
      <c r="RQH192" s="17"/>
      <c r="RQI192" s="17"/>
      <c r="RQJ192" s="17"/>
      <c r="RQK192" s="17"/>
      <c r="RQL192" s="17"/>
      <c r="RQM192" s="17"/>
      <c r="RQN192" s="17"/>
      <c r="RQO192" s="17"/>
      <c r="RQP192" s="17"/>
      <c r="RQQ192" s="17"/>
      <c r="RQR192" s="17"/>
      <c r="RQS192" s="17"/>
      <c r="RQT192" s="17"/>
      <c r="RQU192" s="17"/>
      <c r="RQV192" s="17"/>
      <c r="RQW192" s="17"/>
      <c r="RQX192" s="17"/>
      <c r="RQY192" s="17"/>
      <c r="RQZ192" s="17"/>
      <c r="RRA192" s="17"/>
      <c r="RRB192" s="17"/>
      <c r="RRC192" s="17"/>
      <c r="RRD192" s="17"/>
      <c r="RRE192" s="17"/>
      <c r="RRF192" s="17"/>
      <c r="RRG192" s="17"/>
      <c r="RRH192" s="17"/>
      <c r="RRI192" s="17"/>
      <c r="RRJ192" s="17"/>
      <c r="RRK192" s="17"/>
      <c r="RRL192" s="17"/>
      <c r="RRM192" s="17"/>
      <c r="RRN192" s="17"/>
      <c r="RRO192" s="17"/>
      <c r="RRP192" s="17"/>
      <c r="RRQ192" s="17"/>
      <c r="RRR192" s="17"/>
      <c r="RRS192" s="17"/>
      <c r="RRT192" s="17"/>
      <c r="RRU192" s="17"/>
      <c r="RRV192" s="17"/>
      <c r="RRW192" s="17"/>
      <c r="RRX192" s="17"/>
      <c r="RRY192" s="17"/>
      <c r="RRZ192" s="17"/>
      <c r="RSA192" s="17"/>
      <c r="RSB192" s="17"/>
      <c r="RSC192" s="17"/>
      <c r="RSD192" s="17"/>
      <c r="RSE192" s="17"/>
      <c r="RSF192" s="17"/>
      <c r="RSG192" s="17"/>
      <c r="RSH192" s="17"/>
      <c r="RSI192" s="17"/>
      <c r="RSJ192" s="17"/>
      <c r="RSK192" s="17"/>
      <c r="RSL192" s="17"/>
      <c r="RSM192" s="17"/>
      <c r="RSN192" s="17"/>
      <c r="RSO192" s="17"/>
      <c r="RSP192" s="17"/>
      <c r="RSQ192" s="17"/>
      <c r="RSR192" s="17"/>
      <c r="RSS192" s="17"/>
      <c r="RST192" s="17"/>
      <c r="RSU192" s="17"/>
      <c r="RSV192" s="17"/>
      <c r="RSW192" s="17"/>
      <c r="RSX192" s="17"/>
      <c r="RSY192" s="17"/>
      <c r="RSZ192" s="17"/>
      <c r="RTA192" s="17"/>
      <c r="RTB192" s="17"/>
      <c r="RTC192" s="17"/>
      <c r="RTD192" s="17"/>
      <c r="RTE192" s="17"/>
      <c r="RTF192" s="17"/>
      <c r="RTG192" s="17"/>
      <c r="RTH192" s="17"/>
      <c r="RTI192" s="17"/>
      <c r="RTJ192" s="17"/>
      <c r="RTK192" s="17"/>
      <c r="RTL192" s="17"/>
      <c r="RTM192" s="17"/>
      <c r="RTN192" s="17"/>
      <c r="RTO192" s="17"/>
      <c r="RTP192" s="17"/>
      <c r="RTQ192" s="17"/>
      <c r="RTR192" s="17"/>
      <c r="RTS192" s="17"/>
      <c r="RTT192" s="17"/>
      <c r="RTU192" s="17"/>
      <c r="RTV192" s="17"/>
      <c r="RTW192" s="17"/>
      <c r="RTX192" s="17"/>
      <c r="RTY192" s="17"/>
      <c r="RTZ192" s="17"/>
      <c r="RUA192" s="17"/>
      <c r="RUB192" s="17"/>
      <c r="RUC192" s="17"/>
      <c r="RUD192" s="17"/>
      <c r="RUE192" s="17"/>
      <c r="RUF192" s="17"/>
      <c r="RUG192" s="17"/>
      <c r="RUH192" s="17"/>
      <c r="RUI192" s="17"/>
      <c r="RUJ192" s="17"/>
      <c r="RUK192" s="17"/>
      <c r="RUL192" s="17"/>
      <c r="RUM192" s="17"/>
      <c r="RUN192" s="17"/>
      <c r="RUO192" s="17"/>
      <c r="RUP192" s="17"/>
      <c r="RUQ192" s="17"/>
      <c r="RUR192" s="17"/>
      <c r="RUS192" s="17"/>
      <c r="RUT192" s="17"/>
      <c r="RUU192" s="17"/>
      <c r="RUV192" s="17"/>
      <c r="RUW192" s="17"/>
      <c r="RUX192" s="17"/>
      <c r="RUY192" s="17"/>
      <c r="RUZ192" s="17"/>
      <c r="RVA192" s="17"/>
      <c r="RVB192" s="17"/>
      <c r="RVC192" s="17"/>
      <c r="RVD192" s="17"/>
      <c r="RVE192" s="17"/>
      <c r="RVF192" s="17"/>
      <c r="RVG192" s="17"/>
      <c r="RVH192" s="17"/>
      <c r="RVI192" s="17"/>
      <c r="RVJ192" s="17"/>
      <c r="RVK192" s="17"/>
      <c r="RVL192" s="17"/>
      <c r="RVM192" s="17"/>
      <c r="RVN192" s="17"/>
      <c r="RVO192" s="17"/>
      <c r="RVP192" s="17"/>
      <c r="RVQ192" s="17"/>
      <c r="RVR192" s="17"/>
      <c r="RVS192" s="17"/>
      <c r="RVT192" s="17"/>
      <c r="RVU192" s="17"/>
      <c r="RVV192" s="17"/>
      <c r="RVW192" s="17"/>
      <c r="RVX192" s="17"/>
      <c r="RVY192" s="17"/>
      <c r="RVZ192" s="17"/>
      <c r="RWA192" s="17"/>
      <c r="RWB192" s="17"/>
      <c r="RWC192" s="17"/>
      <c r="RWD192" s="17"/>
      <c r="RWE192" s="17"/>
      <c r="RWF192" s="17"/>
      <c r="RWG192" s="17"/>
      <c r="RWH192" s="17"/>
      <c r="RWI192" s="17"/>
      <c r="RWJ192" s="17"/>
      <c r="RWK192" s="17"/>
      <c r="RWL192" s="17"/>
      <c r="RWM192" s="17"/>
      <c r="RWN192" s="17"/>
      <c r="RWO192" s="17"/>
      <c r="RWP192" s="17"/>
      <c r="RWQ192" s="17"/>
      <c r="RWR192" s="17"/>
      <c r="RWS192" s="17"/>
      <c r="RWT192" s="17"/>
      <c r="RWU192" s="17"/>
      <c r="RWV192" s="17"/>
      <c r="RWW192" s="17"/>
      <c r="RWX192" s="17"/>
      <c r="RWY192" s="17"/>
      <c r="RWZ192" s="17"/>
      <c r="RXA192" s="17"/>
      <c r="RXB192" s="17"/>
      <c r="RXC192" s="17"/>
      <c r="RXD192" s="17"/>
      <c r="RXE192" s="17"/>
      <c r="RXF192" s="17"/>
      <c r="RXG192" s="17"/>
      <c r="RXH192" s="17"/>
      <c r="RXI192" s="17"/>
      <c r="RXJ192" s="17"/>
      <c r="RXK192" s="17"/>
      <c r="RXL192" s="17"/>
      <c r="RXM192" s="17"/>
      <c r="RXN192" s="17"/>
      <c r="RXO192" s="17"/>
      <c r="RXP192" s="17"/>
      <c r="RXQ192" s="17"/>
      <c r="RXR192" s="17"/>
      <c r="RXS192" s="17"/>
      <c r="RXT192" s="17"/>
      <c r="RXU192" s="17"/>
      <c r="RXV192" s="17"/>
      <c r="RXW192" s="17"/>
      <c r="RXX192" s="17"/>
      <c r="RXY192" s="17"/>
      <c r="RXZ192" s="17"/>
      <c r="RYA192" s="17"/>
      <c r="RYB192" s="17"/>
      <c r="RYC192" s="17"/>
      <c r="RYD192" s="17"/>
      <c r="RYE192" s="17"/>
      <c r="RYF192" s="17"/>
      <c r="RYG192" s="17"/>
      <c r="RYH192" s="17"/>
      <c r="RYI192" s="17"/>
      <c r="RYJ192" s="17"/>
      <c r="RYK192" s="17"/>
      <c r="RYL192" s="17"/>
      <c r="RYM192" s="17"/>
      <c r="RYN192" s="17"/>
      <c r="RYO192" s="17"/>
      <c r="RYP192" s="17"/>
      <c r="RYQ192" s="17"/>
      <c r="RYR192" s="17"/>
      <c r="RYS192" s="17"/>
      <c r="RYT192" s="17"/>
      <c r="RYU192" s="17"/>
      <c r="RYV192" s="17"/>
      <c r="RYW192" s="17"/>
      <c r="RYX192" s="17"/>
      <c r="RYY192" s="17"/>
      <c r="RYZ192" s="17"/>
      <c r="RZA192" s="17"/>
      <c r="RZB192" s="17"/>
      <c r="RZC192" s="17"/>
      <c r="RZD192" s="17"/>
      <c r="RZE192" s="17"/>
      <c r="RZF192" s="17"/>
      <c r="RZG192" s="17"/>
      <c r="RZH192" s="17"/>
      <c r="RZI192" s="17"/>
      <c r="RZJ192" s="17"/>
      <c r="RZK192" s="17"/>
      <c r="RZL192" s="17"/>
      <c r="RZM192" s="17"/>
      <c r="RZN192" s="17"/>
      <c r="RZO192" s="17"/>
      <c r="RZP192" s="17"/>
      <c r="RZQ192" s="17"/>
      <c r="RZR192" s="17"/>
      <c r="RZS192" s="17"/>
      <c r="RZT192" s="17"/>
      <c r="RZU192" s="17"/>
      <c r="RZV192" s="17"/>
      <c r="RZW192" s="17"/>
      <c r="RZX192" s="17"/>
      <c r="RZY192" s="17"/>
      <c r="RZZ192" s="17"/>
      <c r="SAA192" s="17"/>
      <c r="SAB192" s="17"/>
      <c r="SAC192" s="17"/>
      <c r="SAD192" s="17"/>
      <c r="SAE192" s="17"/>
      <c r="SAF192" s="17"/>
      <c r="SAG192" s="17"/>
      <c r="SAH192" s="17"/>
      <c r="SAI192" s="17"/>
      <c r="SAJ192" s="17"/>
      <c r="SAK192" s="17"/>
      <c r="SAL192" s="17"/>
      <c r="SAM192" s="17"/>
      <c r="SAN192" s="17"/>
      <c r="SAO192" s="17"/>
      <c r="SAP192" s="17"/>
      <c r="SAQ192" s="17"/>
      <c r="SAR192" s="17"/>
      <c r="SAS192" s="17"/>
      <c r="SAT192" s="17"/>
      <c r="SAU192" s="17"/>
      <c r="SAV192" s="17"/>
      <c r="SAW192" s="17"/>
      <c r="SAX192" s="17"/>
      <c r="SAY192" s="17"/>
      <c r="SAZ192" s="17"/>
      <c r="SBA192" s="17"/>
      <c r="SBB192" s="17"/>
      <c r="SBC192" s="17"/>
      <c r="SBD192" s="17"/>
      <c r="SBE192" s="17"/>
      <c r="SBF192" s="17"/>
      <c r="SBG192" s="17"/>
      <c r="SBH192" s="17"/>
      <c r="SBI192" s="17"/>
      <c r="SBJ192" s="17"/>
      <c r="SBK192" s="17"/>
      <c r="SBL192" s="17"/>
      <c r="SBM192" s="17"/>
      <c r="SBN192" s="17"/>
      <c r="SBO192" s="17"/>
      <c r="SBP192" s="17"/>
      <c r="SBQ192" s="17"/>
      <c r="SBR192" s="17"/>
      <c r="SBS192" s="17"/>
      <c r="SBT192" s="17"/>
      <c r="SBU192" s="17"/>
      <c r="SBV192" s="17"/>
      <c r="SBW192" s="17"/>
      <c r="SBX192" s="17"/>
      <c r="SBY192" s="17"/>
      <c r="SBZ192" s="17"/>
      <c r="SCA192" s="17"/>
      <c r="SCB192" s="17"/>
      <c r="SCC192" s="17"/>
      <c r="SCD192" s="17"/>
      <c r="SCE192" s="17"/>
      <c r="SCF192" s="17"/>
      <c r="SCG192" s="17"/>
      <c r="SCH192" s="17"/>
      <c r="SCI192" s="17"/>
      <c r="SCJ192" s="17"/>
      <c r="SCK192" s="17"/>
      <c r="SCL192" s="17"/>
      <c r="SCM192" s="17"/>
      <c r="SCN192" s="17"/>
      <c r="SCO192" s="17"/>
      <c r="SCP192" s="17"/>
      <c r="SCQ192" s="17"/>
      <c r="SCR192" s="17"/>
      <c r="SCS192" s="17"/>
      <c r="SCT192" s="17"/>
      <c r="SCU192" s="17"/>
      <c r="SCV192" s="17"/>
      <c r="SCW192" s="17"/>
      <c r="SCX192" s="17"/>
      <c r="SCY192" s="17"/>
      <c r="SCZ192" s="17"/>
      <c r="SDA192" s="17"/>
      <c r="SDB192" s="17"/>
      <c r="SDC192" s="17"/>
      <c r="SDD192" s="17"/>
      <c r="SDE192" s="17"/>
      <c r="SDF192" s="17"/>
      <c r="SDG192" s="17"/>
      <c r="SDH192" s="17"/>
      <c r="SDI192" s="17"/>
      <c r="SDJ192" s="17"/>
      <c r="SDK192" s="17"/>
      <c r="SDL192" s="17"/>
      <c r="SDM192" s="17"/>
      <c r="SDN192" s="17"/>
      <c r="SDO192" s="17"/>
      <c r="SDP192" s="17"/>
      <c r="SDQ192" s="17"/>
      <c r="SDR192" s="17"/>
      <c r="SDS192" s="17"/>
      <c r="SDT192" s="17"/>
      <c r="SDU192" s="17"/>
      <c r="SDV192" s="17"/>
      <c r="SDW192" s="17"/>
      <c r="SDX192" s="17"/>
      <c r="SDY192" s="17"/>
      <c r="SDZ192" s="17"/>
      <c r="SEA192" s="17"/>
      <c r="SEB192" s="17"/>
      <c r="SEC192" s="17"/>
      <c r="SED192" s="17"/>
      <c r="SEE192" s="17"/>
      <c r="SEF192" s="17"/>
      <c r="SEG192" s="17"/>
      <c r="SEH192" s="17"/>
      <c r="SEI192" s="17"/>
      <c r="SEJ192" s="17"/>
      <c r="SEK192" s="17"/>
      <c r="SEL192" s="17"/>
      <c r="SEM192" s="17"/>
      <c r="SEN192" s="17"/>
      <c r="SEO192" s="17"/>
      <c r="SEP192" s="17"/>
      <c r="SEQ192" s="17"/>
      <c r="SER192" s="17"/>
      <c r="SES192" s="17"/>
      <c r="SET192" s="17"/>
      <c r="SEU192" s="17"/>
      <c r="SEV192" s="17"/>
      <c r="SEW192" s="17"/>
      <c r="SEX192" s="17"/>
      <c r="SEY192" s="17"/>
      <c r="SEZ192" s="17"/>
      <c r="SFA192" s="17"/>
      <c r="SFB192" s="17"/>
      <c r="SFC192" s="17"/>
      <c r="SFD192" s="17"/>
      <c r="SFE192" s="17"/>
      <c r="SFF192" s="17"/>
      <c r="SFG192" s="17"/>
      <c r="SFH192" s="17"/>
      <c r="SFI192" s="17"/>
      <c r="SFJ192" s="17"/>
      <c r="SFK192" s="17"/>
      <c r="SFL192" s="17"/>
      <c r="SFM192" s="17"/>
      <c r="SFN192" s="17"/>
      <c r="SFO192" s="17"/>
      <c r="SFP192" s="17"/>
      <c r="SFQ192" s="17"/>
      <c r="SFR192" s="17"/>
      <c r="SFS192" s="17"/>
      <c r="SFT192" s="17"/>
      <c r="SFU192" s="17"/>
      <c r="SFV192" s="17"/>
      <c r="SFW192" s="17"/>
      <c r="SFX192" s="17"/>
      <c r="SFY192" s="17"/>
      <c r="SFZ192" s="17"/>
      <c r="SGA192" s="17"/>
      <c r="SGB192" s="17"/>
      <c r="SGC192" s="17"/>
      <c r="SGD192" s="17"/>
      <c r="SGE192" s="17"/>
      <c r="SGF192" s="17"/>
      <c r="SGG192" s="17"/>
      <c r="SGH192" s="17"/>
      <c r="SGI192" s="17"/>
      <c r="SGJ192" s="17"/>
      <c r="SGK192" s="17"/>
      <c r="SGL192" s="17"/>
      <c r="SGM192" s="17"/>
      <c r="SGN192" s="17"/>
      <c r="SGO192" s="17"/>
      <c r="SGP192" s="17"/>
      <c r="SGQ192" s="17"/>
      <c r="SGR192" s="17"/>
      <c r="SGS192" s="17"/>
      <c r="SGT192" s="17"/>
      <c r="SGU192" s="17"/>
      <c r="SGV192" s="17"/>
      <c r="SGW192" s="17"/>
      <c r="SGX192" s="17"/>
      <c r="SGY192" s="17"/>
      <c r="SGZ192" s="17"/>
      <c r="SHA192" s="17"/>
      <c r="SHB192" s="17"/>
      <c r="SHC192" s="17"/>
      <c r="SHD192" s="17"/>
      <c r="SHE192" s="17"/>
      <c r="SHF192" s="17"/>
      <c r="SHG192" s="17"/>
      <c r="SHH192" s="17"/>
      <c r="SHI192" s="17"/>
      <c r="SHJ192" s="17"/>
      <c r="SHK192" s="17"/>
      <c r="SHL192" s="17"/>
      <c r="SHM192" s="17"/>
      <c r="SHN192" s="17"/>
      <c r="SHO192" s="17"/>
      <c r="SHP192" s="17"/>
      <c r="SHQ192" s="17"/>
      <c r="SHR192" s="17"/>
      <c r="SHS192" s="17"/>
      <c r="SHT192" s="17"/>
      <c r="SHU192" s="17"/>
      <c r="SHV192" s="17"/>
      <c r="SHW192" s="17"/>
      <c r="SHX192" s="17"/>
      <c r="SHY192" s="17"/>
      <c r="SHZ192" s="17"/>
      <c r="SIA192" s="17"/>
      <c r="SIB192" s="17"/>
      <c r="SIC192" s="17"/>
      <c r="SID192" s="17"/>
      <c r="SIE192" s="17"/>
      <c r="SIF192" s="17"/>
      <c r="SIG192" s="17"/>
      <c r="SIH192" s="17"/>
      <c r="SII192" s="17"/>
      <c r="SIJ192" s="17"/>
      <c r="SIK192" s="17"/>
      <c r="SIL192" s="17"/>
      <c r="SIM192" s="17"/>
      <c r="SIN192" s="17"/>
      <c r="SIO192" s="17"/>
      <c r="SIP192" s="17"/>
      <c r="SIQ192" s="17"/>
      <c r="SIR192" s="17"/>
      <c r="SIS192" s="17"/>
      <c r="SIT192" s="17"/>
      <c r="SIU192" s="17"/>
      <c r="SIV192" s="17"/>
      <c r="SIW192" s="17"/>
      <c r="SIX192" s="17"/>
      <c r="SIY192" s="17"/>
      <c r="SIZ192" s="17"/>
      <c r="SJA192" s="17"/>
      <c r="SJB192" s="17"/>
      <c r="SJC192" s="17"/>
      <c r="SJD192" s="17"/>
      <c r="SJE192" s="17"/>
      <c r="SJF192" s="17"/>
      <c r="SJG192" s="17"/>
      <c r="SJH192" s="17"/>
      <c r="SJI192" s="17"/>
      <c r="SJJ192" s="17"/>
      <c r="SJK192" s="17"/>
      <c r="SJL192" s="17"/>
      <c r="SJM192" s="17"/>
      <c r="SJN192" s="17"/>
      <c r="SJO192" s="17"/>
      <c r="SJP192" s="17"/>
      <c r="SJQ192" s="17"/>
      <c r="SJR192" s="17"/>
      <c r="SJS192" s="17"/>
      <c r="SJT192" s="17"/>
      <c r="SJU192" s="17"/>
      <c r="SJV192" s="17"/>
      <c r="SJW192" s="17"/>
      <c r="SJX192" s="17"/>
      <c r="SJY192" s="17"/>
      <c r="SJZ192" s="17"/>
      <c r="SKA192" s="17"/>
      <c r="SKB192" s="17"/>
      <c r="SKC192" s="17"/>
      <c r="SKD192" s="17"/>
      <c r="SKE192" s="17"/>
      <c r="SKF192" s="17"/>
      <c r="SKG192" s="17"/>
      <c r="SKH192" s="17"/>
      <c r="SKI192" s="17"/>
      <c r="SKJ192" s="17"/>
      <c r="SKK192" s="17"/>
      <c r="SKL192" s="17"/>
      <c r="SKM192" s="17"/>
      <c r="SKN192" s="17"/>
      <c r="SKO192" s="17"/>
      <c r="SKP192" s="17"/>
      <c r="SKQ192" s="17"/>
      <c r="SKR192" s="17"/>
      <c r="SKS192" s="17"/>
      <c r="SKT192" s="17"/>
      <c r="SKU192" s="17"/>
      <c r="SKV192" s="17"/>
      <c r="SKW192" s="17"/>
      <c r="SKX192" s="17"/>
      <c r="SKY192" s="17"/>
      <c r="SKZ192" s="17"/>
      <c r="SLA192" s="17"/>
      <c r="SLB192" s="17"/>
      <c r="SLC192" s="17"/>
      <c r="SLD192" s="17"/>
      <c r="SLE192" s="17"/>
      <c r="SLF192" s="17"/>
      <c r="SLG192" s="17"/>
      <c r="SLH192" s="17"/>
      <c r="SLI192" s="17"/>
      <c r="SLJ192" s="17"/>
      <c r="SLK192" s="17"/>
      <c r="SLL192" s="17"/>
      <c r="SLM192" s="17"/>
      <c r="SLN192" s="17"/>
      <c r="SLO192" s="17"/>
      <c r="SLP192" s="17"/>
      <c r="SLQ192" s="17"/>
      <c r="SLR192" s="17"/>
      <c r="SLS192" s="17"/>
      <c r="SLT192" s="17"/>
      <c r="SLU192" s="17"/>
      <c r="SLV192" s="17"/>
      <c r="SLW192" s="17"/>
      <c r="SLX192" s="17"/>
      <c r="SLY192" s="17"/>
      <c r="SLZ192" s="17"/>
      <c r="SMA192" s="17"/>
      <c r="SMB192" s="17"/>
      <c r="SMC192" s="17"/>
      <c r="SMD192" s="17"/>
      <c r="SME192" s="17"/>
      <c r="SMF192" s="17"/>
      <c r="SMG192" s="17"/>
      <c r="SMH192" s="17"/>
      <c r="SMI192" s="17"/>
      <c r="SMJ192" s="17"/>
      <c r="SMK192" s="17"/>
      <c r="SML192" s="17"/>
      <c r="SMM192" s="17"/>
      <c r="SMN192" s="17"/>
      <c r="SMO192" s="17"/>
      <c r="SMP192" s="17"/>
      <c r="SMQ192" s="17"/>
      <c r="SMR192" s="17"/>
      <c r="SMS192" s="17"/>
      <c r="SMT192" s="17"/>
      <c r="SMU192" s="17"/>
      <c r="SMV192" s="17"/>
      <c r="SMW192" s="17"/>
      <c r="SMX192" s="17"/>
      <c r="SMY192" s="17"/>
      <c r="SMZ192" s="17"/>
      <c r="SNA192" s="17"/>
      <c r="SNB192" s="17"/>
      <c r="SNC192" s="17"/>
      <c r="SND192" s="17"/>
      <c r="SNE192" s="17"/>
      <c r="SNF192" s="17"/>
      <c r="SNG192" s="17"/>
      <c r="SNH192" s="17"/>
      <c r="SNI192" s="17"/>
      <c r="SNJ192" s="17"/>
      <c r="SNK192" s="17"/>
      <c r="SNL192" s="17"/>
      <c r="SNM192" s="17"/>
      <c r="SNN192" s="17"/>
      <c r="SNO192" s="17"/>
      <c r="SNP192" s="17"/>
      <c r="SNQ192" s="17"/>
      <c r="SNR192" s="17"/>
      <c r="SNS192" s="17"/>
      <c r="SNT192" s="17"/>
      <c r="SNU192" s="17"/>
      <c r="SNV192" s="17"/>
      <c r="SNW192" s="17"/>
      <c r="SNX192" s="17"/>
      <c r="SNY192" s="17"/>
      <c r="SNZ192" s="17"/>
      <c r="SOA192" s="17"/>
      <c r="SOB192" s="17"/>
      <c r="SOC192" s="17"/>
      <c r="SOD192" s="17"/>
      <c r="SOE192" s="17"/>
      <c r="SOF192" s="17"/>
      <c r="SOG192" s="17"/>
      <c r="SOH192" s="17"/>
      <c r="SOI192" s="17"/>
      <c r="SOJ192" s="17"/>
      <c r="SOK192" s="17"/>
      <c r="SOL192" s="17"/>
      <c r="SOM192" s="17"/>
      <c r="SON192" s="17"/>
      <c r="SOO192" s="17"/>
      <c r="SOP192" s="17"/>
      <c r="SOQ192" s="17"/>
      <c r="SOR192" s="17"/>
      <c r="SOS192" s="17"/>
      <c r="SOT192" s="17"/>
      <c r="SOU192" s="17"/>
      <c r="SOV192" s="17"/>
      <c r="SOW192" s="17"/>
      <c r="SOX192" s="17"/>
      <c r="SOY192" s="17"/>
      <c r="SOZ192" s="17"/>
      <c r="SPA192" s="17"/>
      <c r="SPB192" s="17"/>
      <c r="SPC192" s="17"/>
      <c r="SPD192" s="17"/>
      <c r="SPE192" s="17"/>
      <c r="SPF192" s="17"/>
      <c r="SPG192" s="17"/>
      <c r="SPH192" s="17"/>
      <c r="SPI192" s="17"/>
      <c r="SPJ192" s="17"/>
      <c r="SPK192" s="17"/>
      <c r="SPL192" s="17"/>
      <c r="SPM192" s="17"/>
      <c r="SPN192" s="17"/>
      <c r="SPO192" s="17"/>
      <c r="SPP192" s="17"/>
      <c r="SPQ192" s="17"/>
      <c r="SPR192" s="17"/>
      <c r="SPS192" s="17"/>
      <c r="SPT192" s="17"/>
      <c r="SPU192" s="17"/>
      <c r="SPV192" s="17"/>
      <c r="SPW192" s="17"/>
      <c r="SPX192" s="17"/>
      <c r="SPY192" s="17"/>
      <c r="SPZ192" s="17"/>
      <c r="SQA192" s="17"/>
      <c r="SQB192" s="17"/>
      <c r="SQC192" s="17"/>
      <c r="SQD192" s="17"/>
      <c r="SQE192" s="17"/>
      <c r="SQF192" s="17"/>
      <c r="SQG192" s="17"/>
      <c r="SQH192" s="17"/>
      <c r="SQI192" s="17"/>
      <c r="SQJ192" s="17"/>
      <c r="SQK192" s="17"/>
      <c r="SQL192" s="17"/>
      <c r="SQM192" s="17"/>
      <c r="SQN192" s="17"/>
      <c r="SQO192" s="17"/>
      <c r="SQP192" s="17"/>
      <c r="SQQ192" s="17"/>
      <c r="SQR192" s="17"/>
      <c r="SQS192" s="17"/>
      <c r="SQT192" s="17"/>
      <c r="SQU192" s="17"/>
      <c r="SQV192" s="17"/>
      <c r="SQW192" s="17"/>
      <c r="SQX192" s="17"/>
      <c r="SQY192" s="17"/>
      <c r="SQZ192" s="17"/>
      <c r="SRA192" s="17"/>
      <c r="SRB192" s="17"/>
      <c r="SRC192" s="17"/>
      <c r="SRD192" s="17"/>
      <c r="SRE192" s="17"/>
      <c r="SRF192" s="17"/>
      <c r="SRG192" s="17"/>
      <c r="SRH192" s="17"/>
      <c r="SRI192" s="17"/>
      <c r="SRJ192" s="17"/>
      <c r="SRK192" s="17"/>
      <c r="SRL192" s="17"/>
      <c r="SRM192" s="17"/>
      <c r="SRN192" s="17"/>
      <c r="SRO192" s="17"/>
      <c r="SRP192" s="17"/>
      <c r="SRQ192" s="17"/>
      <c r="SRR192" s="17"/>
      <c r="SRS192" s="17"/>
      <c r="SRT192" s="17"/>
      <c r="SRU192" s="17"/>
      <c r="SRV192" s="17"/>
      <c r="SRW192" s="17"/>
      <c r="SRX192" s="17"/>
      <c r="SRY192" s="17"/>
      <c r="SRZ192" s="17"/>
      <c r="SSA192" s="17"/>
      <c r="SSB192" s="17"/>
      <c r="SSC192" s="17"/>
      <c r="SSD192" s="17"/>
      <c r="SSE192" s="17"/>
      <c r="SSF192" s="17"/>
      <c r="SSG192" s="17"/>
      <c r="SSH192" s="17"/>
      <c r="SSI192" s="17"/>
      <c r="SSJ192" s="17"/>
      <c r="SSK192" s="17"/>
      <c r="SSL192" s="17"/>
      <c r="SSM192" s="17"/>
      <c r="SSN192" s="17"/>
      <c r="SSO192" s="17"/>
      <c r="SSP192" s="17"/>
      <c r="SSQ192" s="17"/>
      <c r="SSR192" s="17"/>
      <c r="SSS192" s="17"/>
      <c r="SST192" s="17"/>
      <c r="SSU192" s="17"/>
      <c r="SSV192" s="17"/>
      <c r="SSW192" s="17"/>
      <c r="SSX192" s="17"/>
      <c r="SSY192" s="17"/>
      <c r="SSZ192" s="17"/>
      <c r="STA192" s="17"/>
      <c r="STB192" s="17"/>
      <c r="STC192" s="17"/>
      <c r="STD192" s="17"/>
      <c r="STE192" s="17"/>
      <c r="STF192" s="17"/>
      <c r="STG192" s="17"/>
      <c r="STH192" s="17"/>
      <c r="STI192" s="17"/>
      <c r="STJ192" s="17"/>
      <c r="STK192" s="17"/>
      <c r="STL192" s="17"/>
      <c r="STM192" s="17"/>
      <c r="STN192" s="17"/>
      <c r="STO192" s="17"/>
      <c r="STP192" s="17"/>
      <c r="STQ192" s="17"/>
      <c r="STR192" s="17"/>
      <c r="STS192" s="17"/>
      <c r="STT192" s="17"/>
      <c r="STU192" s="17"/>
      <c r="STV192" s="17"/>
      <c r="STW192" s="17"/>
      <c r="STX192" s="17"/>
      <c r="STY192" s="17"/>
      <c r="STZ192" s="17"/>
      <c r="SUA192" s="17"/>
      <c r="SUB192" s="17"/>
      <c r="SUC192" s="17"/>
      <c r="SUD192" s="17"/>
      <c r="SUE192" s="17"/>
      <c r="SUF192" s="17"/>
      <c r="SUG192" s="17"/>
      <c r="SUH192" s="17"/>
      <c r="SUI192" s="17"/>
      <c r="SUJ192" s="17"/>
      <c r="SUK192" s="17"/>
      <c r="SUL192" s="17"/>
      <c r="SUM192" s="17"/>
      <c r="SUN192" s="17"/>
      <c r="SUO192" s="17"/>
      <c r="SUP192" s="17"/>
      <c r="SUQ192" s="17"/>
      <c r="SUR192" s="17"/>
      <c r="SUS192" s="17"/>
      <c r="SUT192" s="17"/>
      <c r="SUU192" s="17"/>
      <c r="SUV192" s="17"/>
      <c r="SUW192" s="17"/>
      <c r="SUX192" s="17"/>
      <c r="SUY192" s="17"/>
      <c r="SUZ192" s="17"/>
      <c r="SVA192" s="17"/>
      <c r="SVB192" s="17"/>
      <c r="SVC192" s="17"/>
      <c r="SVD192" s="17"/>
      <c r="SVE192" s="17"/>
      <c r="SVF192" s="17"/>
      <c r="SVG192" s="17"/>
      <c r="SVH192" s="17"/>
      <c r="SVI192" s="17"/>
      <c r="SVJ192" s="17"/>
      <c r="SVK192" s="17"/>
      <c r="SVL192" s="17"/>
      <c r="SVM192" s="17"/>
      <c r="SVN192" s="17"/>
      <c r="SVO192" s="17"/>
      <c r="SVP192" s="17"/>
      <c r="SVQ192" s="17"/>
      <c r="SVR192" s="17"/>
      <c r="SVS192" s="17"/>
      <c r="SVT192" s="17"/>
      <c r="SVU192" s="17"/>
      <c r="SVV192" s="17"/>
      <c r="SVW192" s="17"/>
      <c r="SVX192" s="17"/>
      <c r="SVY192" s="17"/>
      <c r="SVZ192" s="17"/>
      <c r="SWA192" s="17"/>
      <c r="SWB192" s="17"/>
      <c r="SWC192" s="17"/>
      <c r="SWD192" s="17"/>
      <c r="SWE192" s="17"/>
      <c r="SWF192" s="17"/>
      <c r="SWG192" s="17"/>
      <c r="SWH192" s="17"/>
      <c r="SWI192" s="17"/>
      <c r="SWJ192" s="17"/>
      <c r="SWK192" s="17"/>
      <c r="SWL192" s="17"/>
      <c r="SWM192" s="17"/>
      <c r="SWN192" s="17"/>
      <c r="SWO192" s="17"/>
      <c r="SWP192" s="17"/>
      <c r="SWQ192" s="17"/>
      <c r="SWR192" s="17"/>
      <c r="SWS192" s="17"/>
      <c r="SWT192" s="17"/>
      <c r="SWU192" s="17"/>
      <c r="SWV192" s="17"/>
      <c r="SWW192" s="17"/>
      <c r="SWX192" s="17"/>
      <c r="SWY192" s="17"/>
      <c r="SWZ192" s="17"/>
      <c r="SXA192" s="17"/>
      <c r="SXB192" s="17"/>
      <c r="SXC192" s="17"/>
      <c r="SXD192" s="17"/>
      <c r="SXE192" s="17"/>
      <c r="SXF192" s="17"/>
      <c r="SXG192" s="17"/>
      <c r="SXH192" s="17"/>
      <c r="SXI192" s="17"/>
      <c r="SXJ192" s="17"/>
      <c r="SXK192" s="17"/>
      <c r="SXL192" s="17"/>
      <c r="SXM192" s="17"/>
      <c r="SXN192" s="17"/>
      <c r="SXO192" s="17"/>
      <c r="SXP192" s="17"/>
      <c r="SXQ192" s="17"/>
      <c r="SXR192" s="17"/>
      <c r="SXS192" s="17"/>
      <c r="SXT192" s="17"/>
      <c r="SXU192" s="17"/>
      <c r="SXV192" s="17"/>
      <c r="SXW192" s="17"/>
      <c r="SXX192" s="17"/>
      <c r="SXY192" s="17"/>
      <c r="SXZ192" s="17"/>
      <c r="SYA192" s="17"/>
      <c r="SYB192" s="17"/>
      <c r="SYC192" s="17"/>
      <c r="SYD192" s="17"/>
      <c r="SYE192" s="17"/>
      <c r="SYF192" s="17"/>
      <c r="SYG192" s="17"/>
      <c r="SYH192" s="17"/>
      <c r="SYI192" s="17"/>
      <c r="SYJ192" s="17"/>
      <c r="SYK192" s="17"/>
      <c r="SYL192" s="17"/>
      <c r="SYM192" s="17"/>
      <c r="SYN192" s="17"/>
      <c r="SYO192" s="17"/>
      <c r="SYP192" s="17"/>
      <c r="SYQ192" s="17"/>
      <c r="SYR192" s="17"/>
      <c r="SYS192" s="17"/>
      <c r="SYT192" s="17"/>
      <c r="SYU192" s="17"/>
      <c r="SYV192" s="17"/>
      <c r="SYW192" s="17"/>
      <c r="SYX192" s="17"/>
      <c r="SYY192" s="17"/>
      <c r="SYZ192" s="17"/>
      <c r="SZA192" s="17"/>
      <c r="SZB192" s="17"/>
      <c r="SZC192" s="17"/>
      <c r="SZD192" s="17"/>
      <c r="SZE192" s="17"/>
      <c r="SZF192" s="17"/>
      <c r="SZG192" s="17"/>
      <c r="SZH192" s="17"/>
      <c r="SZI192" s="17"/>
      <c r="SZJ192" s="17"/>
      <c r="SZK192" s="17"/>
      <c r="SZL192" s="17"/>
      <c r="SZM192" s="17"/>
      <c r="SZN192" s="17"/>
      <c r="SZO192" s="17"/>
      <c r="SZP192" s="17"/>
      <c r="SZQ192" s="17"/>
      <c r="SZR192" s="17"/>
      <c r="SZS192" s="17"/>
      <c r="SZT192" s="17"/>
      <c r="SZU192" s="17"/>
      <c r="SZV192" s="17"/>
      <c r="SZW192" s="17"/>
      <c r="SZX192" s="17"/>
      <c r="SZY192" s="17"/>
      <c r="SZZ192" s="17"/>
      <c r="TAA192" s="17"/>
      <c r="TAB192" s="17"/>
      <c r="TAC192" s="17"/>
      <c r="TAD192" s="17"/>
      <c r="TAE192" s="17"/>
      <c r="TAF192" s="17"/>
      <c r="TAG192" s="17"/>
      <c r="TAH192" s="17"/>
      <c r="TAI192" s="17"/>
      <c r="TAJ192" s="17"/>
      <c r="TAK192" s="17"/>
      <c r="TAL192" s="17"/>
      <c r="TAM192" s="17"/>
      <c r="TAN192" s="17"/>
      <c r="TAO192" s="17"/>
      <c r="TAP192" s="17"/>
      <c r="TAQ192" s="17"/>
      <c r="TAR192" s="17"/>
      <c r="TAS192" s="17"/>
      <c r="TAT192" s="17"/>
      <c r="TAU192" s="17"/>
      <c r="TAV192" s="17"/>
      <c r="TAW192" s="17"/>
      <c r="TAX192" s="17"/>
      <c r="TAY192" s="17"/>
      <c r="TAZ192" s="17"/>
      <c r="TBA192" s="17"/>
      <c r="TBB192" s="17"/>
      <c r="TBC192" s="17"/>
      <c r="TBD192" s="17"/>
      <c r="TBE192" s="17"/>
      <c r="TBF192" s="17"/>
      <c r="TBG192" s="17"/>
      <c r="TBH192" s="17"/>
      <c r="TBI192" s="17"/>
      <c r="TBJ192" s="17"/>
      <c r="TBK192" s="17"/>
      <c r="TBL192" s="17"/>
      <c r="TBM192" s="17"/>
      <c r="TBN192" s="17"/>
      <c r="TBO192" s="17"/>
      <c r="TBP192" s="17"/>
      <c r="TBQ192" s="17"/>
      <c r="TBR192" s="17"/>
      <c r="TBS192" s="17"/>
      <c r="TBT192" s="17"/>
      <c r="TBU192" s="17"/>
      <c r="TBV192" s="17"/>
      <c r="TBW192" s="17"/>
      <c r="TBX192" s="17"/>
      <c r="TBY192" s="17"/>
      <c r="TBZ192" s="17"/>
      <c r="TCA192" s="17"/>
      <c r="TCB192" s="17"/>
      <c r="TCC192" s="17"/>
      <c r="TCD192" s="17"/>
      <c r="TCE192" s="17"/>
      <c r="TCF192" s="17"/>
      <c r="TCG192" s="17"/>
      <c r="TCH192" s="17"/>
      <c r="TCI192" s="17"/>
      <c r="TCJ192" s="17"/>
      <c r="TCK192" s="17"/>
      <c r="TCL192" s="17"/>
      <c r="TCM192" s="17"/>
      <c r="TCN192" s="17"/>
      <c r="TCO192" s="17"/>
      <c r="TCP192" s="17"/>
      <c r="TCQ192" s="17"/>
      <c r="TCR192" s="17"/>
      <c r="TCS192" s="17"/>
      <c r="TCT192" s="17"/>
      <c r="TCU192" s="17"/>
      <c r="TCV192" s="17"/>
      <c r="TCW192" s="17"/>
      <c r="TCX192" s="17"/>
      <c r="TCY192" s="17"/>
      <c r="TCZ192" s="17"/>
      <c r="TDA192" s="17"/>
      <c r="TDB192" s="17"/>
      <c r="TDC192" s="17"/>
      <c r="TDD192" s="17"/>
      <c r="TDE192" s="17"/>
      <c r="TDF192" s="17"/>
      <c r="TDG192" s="17"/>
      <c r="TDH192" s="17"/>
      <c r="TDI192" s="17"/>
      <c r="TDJ192" s="17"/>
      <c r="TDK192" s="17"/>
      <c r="TDL192" s="17"/>
      <c r="TDM192" s="17"/>
      <c r="TDN192" s="17"/>
      <c r="TDO192" s="17"/>
      <c r="TDP192" s="17"/>
      <c r="TDQ192" s="17"/>
      <c r="TDR192" s="17"/>
      <c r="TDS192" s="17"/>
      <c r="TDT192" s="17"/>
      <c r="TDU192" s="17"/>
      <c r="TDV192" s="17"/>
      <c r="TDW192" s="17"/>
      <c r="TDX192" s="17"/>
      <c r="TDY192" s="17"/>
      <c r="TDZ192" s="17"/>
      <c r="TEA192" s="17"/>
      <c r="TEB192" s="17"/>
      <c r="TEC192" s="17"/>
      <c r="TED192" s="17"/>
      <c r="TEE192" s="17"/>
      <c r="TEF192" s="17"/>
      <c r="TEG192" s="17"/>
      <c r="TEH192" s="17"/>
      <c r="TEI192" s="17"/>
      <c r="TEJ192" s="17"/>
      <c r="TEK192" s="17"/>
      <c r="TEL192" s="17"/>
      <c r="TEM192" s="17"/>
      <c r="TEN192" s="17"/>
      <c r="TEO192" s="17"/>
      <c r="TEP192" s="17"/>
      <c r="TEQ192" s="17"/>
      <c r="TER192" s="17"/>
      <c r="TES192" s="17"/>
      <c r="TET192" s="17"/>
      <c r="TEU192" s="17"/>
      <c r="TEV192" s="17"/>
      <c r="TEW192" s="17"/>
      <c r="TEX192" s="17"/>
      <c r="TEY192" s="17"/>
      <c r="TEZ192" s="17"/>
      <c r="TFA192" s="17"/>
      <c r="TFB192" s="17"/>
      <c r="TFC192" s="17"/>
      <c r="TFD192" s="17"/>
      <c r="TFE192" s="17"/>
      <c r="TFF192" s="17"/>
      <c r="TFG192" s="17"/>
      <c r="TFH192" s="17"/>
      <c r="TFI192" s="17"/>
      <c r="TFJ192" s="17"/>
      <c r="TFK192" s="17"/>
      <c r="TFL192" s="17"/>
      <c r="TFM192" s="17"/>
      <c r="TFN192" s="17"/>
      <c r="TFO192" s="17"/>
      <c r="TFP192" s="17"/>
      <c r="TFQ192" s="17"/>
      <c r="TFR192" s="17"/>
      <c r="TFS192" s="17"/>
      <c r="TFT192" s="17"/>
      <c r="TFU192" s="17"/>
      <c r="TFV192" s="17"/>
      <c r="TFW192" s="17"/>
      <c r="TFX192" s="17"/>
      <c r="TFY192" s="17"/>
      <c r="TFZ192" s="17"/>
      <c r="TGA192" s="17"/>
      <c r="TGB192" s="17"/>
      <c r="TGC192" s="17"/>
      <c r="TGD192" s="17"/>
      <c r="TGE192" s="17"/>
      <c r="TGF192" s="17"/>
      <c r="TGG192" s="17"/>
      <c r="TGH192" s="17"/>
      <c r="TGI192" s="17"/>
      <c r="TGJ192" s="17"/>
      <c r="TGK192" s="17"/>
      <c r="TGL192" s="17"/>
      <c r="TGM192" s="17"/>
      <c r="TGN192" s="17"/>
      <c r="TGO192" s="17"/>
      <c r="TGP192" s="17"/>
      <c r="TGQ192" s="17"/>
      <c r="TGR192" s="17"/>
      <c r="TGS192" s="17"/>
      <c r="TGT192" s="17"/>
      <c r="TGU192" s="17"/>
      <c r="TGV192" s="17"/>
      <c r="TGW192" s="17"/>
      <c r="TGX192" s="17"/>
      <c r="TGY192" s="17"/>
      <c r="TGZ192" s="17"/>
      <c r="THA192" s="17"/>
      <c r="THB192" s="17"/>
      <c r="THC192" s="17"/>
      <c r="THD192" s="17"/>
      <c r="THE192" s="17"/>
      <c r="THF192" s="17"/>
      <c r="THG192" s="17"/>
      <c r="THH192" s="17"/>
      <c r="THI192" s="17"/>
      <c r="THJ192" s="17"/>
      <c r="THK192" s="17"/>
      <c r="THL192" s="17"/>
      <c r="THM192" s="17"/>
      <c r="THN192" s="17"/>
      <c r="THO192" s="17"/>
      <c r="THP192" s="17"/>
      <c r="THQ192" s="17"/>
      <c r="THR192" s="17"/>
      <c r="THS192" s="17"/>
      <c r="THT192" s="17"/>
      <c r="THU192" s="17"/>
      <c r="THV192" s="17"/>
      <c r="THW192" s="17"/>
      <c r="THX192" s="17"/>
      <c r="THY192" s="17"/>
      <c r="THZ192" s="17"/>
      <c r="TIA192" s="17"/>
      <c r="TIB192" s="17"/>
      <c r="TIC192" s="17"/>
      <c r="TID192" s="17"/>
      <c r="TIE192" s="17"/>
      <c r="TIF192" s="17"/>
      <c r="TIG192" s="17"/>
      <c r="TIH192" s="17"/>
      <c r="TII192" s="17"/>
      <c r="TIJ192" s="17"/>
      <c r="TIK192" s="17"/>
      <c r="TIL192" s="17"/>
      <c r="TIM192" s="17"/>
      <c r="TIN192" s="17"/>
      <c r="TIO192" s="17"/>
      <c r="TIP192" s="17"/>
      <c r="TIQ192" s="17"/>
      <c r="TIR192" s="17"/>
      <c r="TIS192" s="17"/>
      <c r="TIT192" s="17"/>
      <c r="TIU192" s="17"/>
      <c r="TIV192" s="17"/>
      <c r="TIW192" s="17"/>
      <c r="TIX192" s="17"/>
      <c r="TIY192" s="17"/>
      <c r="TIZ192" s="17"/>
      <c r="TJA192" s="17"/>
      <c r="TJB192" s="17"/>
      <c r="TJC192" s="17"/>
      <c r="TJD192" s="17"/>
      <c r="TJE192" s="17"/>
      <c r="TJF192" s="17"/>
      <c r="TJG192" s="17"/>
      <c r="TJH192" s="17"/>
      <c r="TJI192" s="17"/>
      <c r="TJJ192" s="17"/>
      <c r="TJK192" s="17"/>
      <c r="TJL192" s="17"/>
      <c r="TJM192" s="17"/>
      <c r="TJN192" s="17"/>
      <c r="TJO192" s="17"/>
      <c r="TJP192" s="17"/>
      <c r="TJQ192" s="17"/>
      <c r="TJR192" s="17"/>
      <c r="TJS192" s="17"/>
      <c r="TJT192" s="17"/>
      <c r="TJU192" s="17"/>
      <c r="TJV192" s="17"/>
      <c r="TJW192" s="17"/>
      <c r="TJX192" s="17"/>
      <c r="TJY192" s="17"/>
      <c r="TJZ192" s="17"/>
      <c r="TKA192" s="17"/>
      <c r="TKB192" s="17"/>
      <c r="TKC192" s="17"/>
      <c r="TKD192" s="17"/>
      <c r="TKE192" s="17"/>
      <c r="TKF192" s="17"/>
      <c r="TKG192" s="17"/>
      <c r="TKH192" s="17"/>
      <c r="TKI192" s="17"/>
      <c r="TKJ192" s="17"/>
      <c r="TKK192" s="17"/>
      <c r="TKL192" s="17"/>
      <c r="TKM192" s="17"/>
      <c r="TKN192" s="17"/>
      <c r="TKO192" s="17"/>
      <c r="TKP192" s="17"/>
      <c r="TKQ192" s="17"/>
      <c r="TKR192" s="17"/>
      <c r="TKS192" s="17"/>
      <c r="TKT192" s="17"/>
      <c r="TKU192" s="17"/>
      <c r="TKV192" s="17"/>
      <c r="TKW192" s="17"/>
      <c r="TKX192" s="17"/>
      <c r="TKY192" s="17"/>
      <c r="TKZ192" s="17"/>
      <c r="TLA192" s="17"/>
      <c r="TLB192" s="17"/>
      <c r="TLC192" s="17"/>
      <c r="TLD192" s="17"/>
      <c r="TLE192" s="17"/>
      <c r="TLF192" s="17"/>
      <c r="TLG192" s="17"/>
      <c r="TLH192" s="17"/>
      <c r="TLI192" s="17"/>
      <c r="TLJ192" s="17"/>
      <c r="TLK192" s="17"/>
      <c r="TLL192" s="17"/>
      <c r="TLM192" s="17"/>
      <c r="TLN192" s="17"/>
      <c r="TLO192" s="17"/>
      <c r="TLP192" s="17"/>
      <c r="TLQ192" s="17"/>
      <c r="TLR192" s="17"/>
      <c r="TLS192" s="17"/>
      <c r="TLT192" s="17"/>
      <c r="TLU192" s="17"/>
      <c r="TLV192" s="17"/>
      <c r="TLW192" s="17"/>
      <c r="TLX192" s="17"/>
      <c r="TLY192" s="17"/>
      <c r="TLZ192" s="17"/>
      <c r="TMA192" s="17"/>
      <c r="TMB192" s="17"/>
      <c r="TMC192" s="17"/>
      <c r="TMD192" s="17"/>
      <c r="TME192" s="17"/>
      <c r="TMF192" s="17"/>
      <c r="TMG192" s="17"/>
      <c r="TMH192" s="17"/>
      <c r="TMI192" s="17"/>
      <c r="TMJ192" s="17"/>
      <c r="TMK192" s="17"/>
      <c r="TML192" s="17"/>
      <c r="TMM192" s="17"/>
      <c r="TMN192" s="17"/>
      <c r="TMO192" s="17"/>
      <c r="TMP192" s="17"/>
      <c r="TMQ192" s="17"/>
      <c r="TMR192" s="17"/>
      <c r="TMS192" s="17"/>
      <c r="TMT192" s="17"/>
      <c r="TMU192" s="17"/>
      <c r="TMV192" s="17"/>
      <c r="TMW192" s="17"/>
      <c r="TMX192" s="17"/>
      <c r="TMY192" s="17"/>
      <c r="TMZ192" s="17"/>
      <c r="TNA192" s="17"/>
      <c r="TNB192" s="17"/>
      <c r="TNC192" s="17"/>
      <c r="TND192" s="17"/>
      <c r="TNE192" s="17"/>
      <c r="TNF192" s="17"/>
      <c r="TNG192" s="17"/>
      <c r="TNH192" s="17"/>
      <c r="TNI192" s="17"/>
      <c r="TNJ192" s="17"/>
      <c r="TNK192" s="17"/>
      <c r="TNL192" s="17"/>
      <c r="TNM192" s="17"/>
      <c r="TNN192" s="17"/>
      <c r="TNO192" s="17"/>
      <c r="TNP192" s="17"/>
      <c r="TNQ192" s="17"/>
      <c r="TNR192" s="17"/>
      <c r="TNS192" s="17"/>
      <c r="TNT192" s="17"/>
      <c r="TNU192" s="17"/>
      <c r="TNV192" s="17"/>
      <c r="TNW192" s="17"/>
      <c r="TNX192" s="17"/>
      <c r="TNY192" s="17"/>
      <c r="TNZ192" s="17"/>
      <c r="TOA192" s="17"/>
      <c r="TOB192" s="17"/>
      <c r="TOC192" s="17"/>
      <c r="TOD192" s="17"/>
      <c r="TOE192" s="17"/>
      <c r="TOF192" s="17"/>
      <c r="TOG192" s="17"/>
      <c r="TOH192" s="17"/>
      <c r="TOI192" s="17"/>
      <c r="TOJ192" s="17"/>
      <c r="TOK192" s="17"/>
      <c r="TOL192" s="17"/>
      <c r="TOM192" s="17"/>
      <c r="TON192" s="17"/>
      <c r="TOO192" s="17"/>
      <c r="TOP192" s="17"/>
      <c r="TOQ192" s="17"/>
      <c r="TOR192" s="17"/>
      <c r="TOS192" s="17"/>
      <c r="TOT192" s="17"/>
      <c r="TOU192" s="17"/>
      <c r="TOV192" s="17"/>
      <c r="TOW192" s="17"/>
      <c r="TOX192" s="17"/>
      <c r="TOY192" s="17"/>
      <c r="TOZ192" s="17"/>
      <c r="TPA192" s="17"/>
      <c r="TPB192" s="17"/>
      <c r="TPC192" s="17"/>
      <c r="TPD192" s="17"/>
      <c r="TPE192" s="17"/>
      <c r="TPF192" s="17"/>
      <c r="TPG192" s="17"/>
      <c r="TPH192" s="17"/>
      <c r="TPI192" s="17"/>
      <c r="TPJ192" s="17"/>
      <c r="TPK192" s="17"/>
      <c r="TPL192" s="17"/>
      <c r="TPM192" s="17"/>
      <c r="TPN192" s="17"/>
      <c r="TPO192" s="17"/>
      <c r="TPP192" s="17"/>
      <c r="TPQ192" s="17"/>
      <c r="TPR192" s="17"/>
      <c r="TPS192" s="17"/>
      <c r="TPT192" s="17"/>
      <c r="TPU192" s="17"/>
      <c r="TPV192" s="17"/>
      <c r="TPW192" s="17"/>
      <c r="TPX192" s="17"/>
      <c r="TPY192" s="17"/>
      <c r="TPZ192" s="17"/>
      <c r="TQA192" s="17"/>
      <c r="TQB192" s="17"/>
      <c r="TQC192" s="17"/>
      <c r="TQD192" s="17"/>
      <c r="TQE192" s="17"/>
      <c r="TQF192" s="17"/>
      <c r="TQG192" s="17"/>
      <c r="TQH192" s="17"/>
      <c r="TQI192" s="17"/>
      <c r="TQJ192" s="17"/>
      <c r="TQK192" s="17"/>
      <c r="TQL192" s="17"/>
      <c r="TQM192" s="17"/>
      <c r="TQN192" s="17"/>
      <c r="TQO192" s="17"/>
      <c r="TQP192" s="17"/>
      <c r="TQQ192" s="17"/>
      <c r="TQR192" s="17"/>
      <c r="TQS192" s="17"/>
      <c r="TQT192" s="17"/>
      <c r="TQU192" s="17"/>
      <c r="TQV192" s="17"/>
      <c r="TQW192" s="17"/>
      <c r="TQX192" s="17"/>
      <c r="TQY192" s="17"/>
      <c r="TQZ192" s="17"/>
      <c r="TRA192" s="17"/>
      <c r="TRB192" s="17"/>
      <c r="TRC192" s="17"/>
      <c r="TRD192" s="17"/>
      <c r="TRE192" s="17"/>
      <c r="TRF192" s="17"/>
      <c r="TRG192" s="17"/>
      <c r="TRH192" s="17"/>
      <c r="TRI192" s="17"/>
      <c r="TRJ192" s="17"/>
      <c r="TRK192" s="17"/>
      <c r="TRL192" s="17"/>
      <c r="TRM192" s="17"/>
      <c r="TRN192" s="17"/>
      <c r="TRO192" s="17"/>
      <c r="TRP192" s="17"/>
      <c r="TRQ192" s="17"/>
      <c r="TRR192" s="17"/>
      <c r="TRS192" s="17"/>
      <c r="TRT192" s="17"/>
      <c r="TRU192" s="17"/>
      <c r="TRV192" s="17"/>
      <c r="TRW192" s="17"/>
      <c r="TRX192" s="17"/>
      <c r="TRY192" s="17"/>
      <c r="TRZ192" s="17"/>
      <c r="TSA192" s="17"/>
      <c r="TSB192" s="17"/>
      <c r="TSC192" s="17"/>
      <c r="TSD192" s="17"/>
      <c r="TSE192" s="17"/>
      <c r="TSF192" s="17"/>
      <c r="TSG192" s="17"/>
      <c r="TSH192" s="17"/>
      <c r="TSI192" s="17"/>
      <c r="TSJ192" s="17"/>
      <c r="TSK192" s="17"/>
      <c r="TSL192" s="17"/>
      <c r="TSM192" s="17"/>
      <c r="TSN192" s="17"/>
      <c r="TSO192" s="17"/>
      <c r="TSP192" s="17"/>
      <c r="TSQ192" s="17"/>
      <c r="TSR192" s="17"/>
      <c r="TSS192" s="17"/>
      <c r="TST192" s="17"/>
      <c r="TSU192" s="17"/>
      <c r="TSV192" s="17"/>
      <c r="TSW192" s="17"/>
      <c r="TSX192" s="17"/>
      <c r="TSY192" s="17"/>
      <c r="TSZ192" s="17"/>
      <c r="TTA192" s="17"/>
      <c r="TTB192" s="17"/>
      <c r="TTC192" s="17"/>
      <c r="TTD192" s="17"/>
      <c r="TTE192" s="17"/>
      <c r="TTF192" s="17"/>
      <c r="TTG192" s="17"/>
      <c r="TTH192" s="17"/>
      <c r="TTI192" s="17"/>
      <c r="TTJ192" s="17"/>
      <c r="TTK192" s="17"/>
      <c r="TTL192" s="17"/>
      <c r="TTM192" s="17"/>
      <c r="TTN192" s="17"/>
      <c r="TTO192" s="17"/>
      <c r="TTP192" s="17"/>
      <c r="TTQ192" s="17"/>
      <c r="TTR192" s="17"/>
      <c r="TTS192" s="17"/>
      <c r="TTT192" s="17"/>
      <c r="TTU192" s="17"/>
      <c r="TTV192" s="17"/>
      <c r="TTW192" s="17"/>
      <c r="TTX192" s="17"/>
      <c r="TTY192" s="17"/>
      <c r="TTZ192" s="17"/>
      <c r="TUA192" s="17"/>
      <c r="TUB192" s="17"/>
      <c r="TUC192" s="17"/>
      <c r="TUD192" s="17"/>
      <c r="TUE192" s="17"/>
      <c r="TUF192" s="17"/>
      <c r="TUG192" s="17"/>
      <c r="TUH192" s="17"/>
      <c r="TUI192" s="17"/>
      <c r="TUJ192" s="17"/>
      <c r="TUK192" s="17"/>
      <c r="TUL192" s="17"/>
      <c r="TUM192" s="17"/>
      <c r="TUN192" s="17"/>
      <c r="TUO192" s="17"/>
      <c r="TUP192" s="17"/>
      <c r="TUQ192" s="17"/>
      <c r="TUR192" s="17"/>
      <c r="TUS192" s="17"/>
      <c r="TUT192" s="17"/>
      <c r="TUU192" s="17"/>
      <c r="TUV192" s="17"/>
      <c r="TUW192" s="17"/>
      <c r="TUX192" s="17"/>
      <c r="TUY192" s="17"/>
      <c r="TUZ192" s="17"/>
      <c r="TVA192" s="17"/>
      <c r="TVB192" s="17"/>
      <c r="TVC192" s="17"/>
      <c r="TVD192" s="17"/>
      <c r="TVE192" s="17"/>
      <c r="TVF192" s="17"/>
      <c r="TVG192" s="17"/>
      <c r="TVH192" s="17"/>
      <c r="TVI192" s="17"/>
      <c r="TVJ192" s="17"/>
      <c r="TVK192" s="17"/>
      <c r="TVL192" s="17"/>
      <c r="TVM192" s="17"/>
      <c r="TVN192" s="17"/>
      <c r="TVO192" s="17"/>
      <c r="TVP192" s="17"/>
      <c r="TVQ192" s="17"/>
      <c r="TVR192" s="17"/>
      <c r="TVS192" s="17"/>
      <c r="TVT192" s="17"/>
      <c r="TVU192" s="17"/>
      <c r="TVV192" s="17"/>
      <c r="TVW192" s="17"/>
      <c r="TVX192" s="17"/>
      <c r="TVY192" s="17"/>
      <c r="TVZ192" s="17"/>
      <c r="TWA192" s="17"/>
      <c r="TWB192" s="17"/>
      <c r="TWC192" s="17"/>
      <c r="TWD192" s="17"/>
      <c r="TWE192" s="17"/>
      <c r="TWF192" s="17"/>
      <c r="TWG192" s="17"/>
      <c r="TWH192" s="17"/>
      <c r="TWI192" s="17"/>
      <c r="TWJ192" s="17"/>
      <c r="TWK192" s="17"/>
      <c r="TWL192" s="17"/>
      <c r="TWM192" s="17"/>
      <c r="TWN192" s="17"/>
      <c r="TWO192" s="17"/>
      <c r="TWP192" s="17"/>
      <c r="TWQ192" s="17"/>
      <c r="TWR192" s="17"/>
      <c r="TWS192" s="17"/>
      <c r="TWT192" s="17"/>
      <c r="TWU192" s="17"/>
      <c r="TWV192" s="17"/>
      <c r="TWW192" s="17"/>
      <c r="TWX192" s="17"/>
      <c r="TWY192" s="17"/>
      <c r="TWZ192" s="17"/>
      <c r="TXA192" s="17"/>
      <c r="TXB192" s="17"/>
      <c r="TXC192" s="17"/>
      <c r="TXD192" s="17"/>
      <c r="TXE192" s="17"/>
      <c r="TXF192" s="17"/>
      <c r="TXG192" s="17"/>
      <c r="TXH192" s="17"/>
      <c r="TXI192" s="17"/>
      <c r="TXJ192" s="17"/>
      <c r="TXK192" s="17"/>
      <c r="TXL192" s="17"/>
      <c r="TXM192" s="17"/>
      <c r="TXN192" s="17"/>
      <c r="TXO192" s="17"/>
      <c r="TXP192" s="17"/>
      <c r="TXQ192" s="17"/>
      <c r="TXR192" s="17"/>
      <c r="TXS192" s="17"/>
      <c r="TXT192" s="17"/>
      <c r="TXU192" s="17"/>
      <c r="TXV192" s="17"/>
      <c r="TXW192" s="17"/>
      <c r="TXX192" s="17"/>
      <c r="TXY192" s="17"/>
      <c r="TXZ192" s="17"/>
      <c r="TYA192" s="17"/>
      <c r="TYB192" s="17"/>
      <c r="TYC192" s="17"/>
      <c r="TYD192" s="17"/>
      <c r="TYE192" s="17"/>
      <c r="TYF192" s="17"/>
      <c r="TYG192" s="17"/>
      <c r="TYH192" s="17"/>
      <c r="TYI192" s="17"/>
      <c r="TYJ192" s="17"/>
      <c r="TYK192" s="17"/>
      <c r="TYL192" s="17"/>
      <c r="TYM192" s="17"/>
      <c r="TYN192" s="17"/>
      <c r="TYO192" s="17"/>
      <c r="TYP192" s="17"/>
      <c r="TYQ192" s="17"/>
      <c r="TYR192" s="17"/>
      <c r="TYS192" s="17"/>
      <c r="TYT192" s="17"/>
      <c r="TYU192" s="17"/>
      <c r="TYV192" s="17"/>
      <c r="TYW192" s="17"/>
      <c r="TYX192" s="17"/>
      <c r="TYY192" s="17"/>
      <c r="TYZ192" s="17"/>
      <c r="TZA192" s="17"/>
      <c r="TZB192" s="17"/>
      <c r="TZC192" s="17"/>
      <c r="TZD192" s="17"/>
      <c r="TZE192" s="17"/>
      <c r="TZF192" s="17"/>
      <c r="TZG192" s="17"/>
      <c r="TZH192" s="17"/>
      <c r="TZI192" s="17"/>
      <c r="TZJ192" s="17"/>
      <c r="TZK192" s="17"/>
      <c r="TZL192" s="17"/>
      <c r="TZM192" s="17"/>
      <c r="TZN192" s="17"/>
      <c r="TZO192" s="17"/>
      <c r="TZP192" s="17"/>
      <c r="TZQ192" s="17"/>
      <c r="TZR192" s="17"/>
      <c r="TZS192" s="17"/>
      <c r="TZT192" s="17"/>
      <c r="TZU192" s="17"/>
      <c r="TZV192" s="17"/>
      <c r="TZW192" s="17"/>
      <c r="TZX192" s="17"/>
      <c r="TZY192" s="17"/>
      <c r="TZZ192" s="17"/>
      <c r="UAA192" s="17"/>
      <c r="UAB192" s="17"/>
      <c r="UAC192" s="17"/>
      <c r="UAD192" s="17"/>
      <c r="UAE192" s="17"/>
      <c r="UAF192" s="17"/>
      <c r="UAG192" s="17"/>
      <c r="UAH192" s="17"/>
      <c r="UAI192" s="17"/>
      <c r="UAJ192" s="17"/>
      <c r="UAK192" s="17"/>
      <c r="UAL192" s="17"/>
      <c r="UAM192" s="17"/>
      <c r="UAN192" s="17"/>
      <c r="UAO192" s="17"/>
      <c r="UAP192" s="17"/>
      <c r="UAQ192" s="17"/>
      <c r="UAR192" s="17"/>
      <c r="UAS192" s="17"/>
      <c r="UAT192" s="17"/>
      <c r="UAU192" s="17"/>
      <c r="UAV192" s="17"/>
      <c r="UAW192" s="17"/>
      <c r="UAX192" s="17"/>
      <c r="UAY192" s="17"/>
      <c r="UAZ192" s="17"/>
      <c r="UBA192" s="17"/>
      <c r="UBB192" s="17"/>
      <c r="UBC192" s="17"/>
      <c r="UBD192" s="17"/>
      <c r="UBE192" s="17"/>
      <c r="UBF192" s="17"/>
      <c r="UBG192" s="17"/>
      <c r="UBH192" s="17"/>
      <c r="UBI192" s="17"/>
      <c r="UBJ192" s="17"/>
      <c r="UBK192" s="17"/>
      <c r="UBL192" s="17"/>
      <c r="UBM192" s="17"/>
      <c r="UBN192" s="17"/>
      <c r="UBO192" s="17"/>
      <c r="UBP192" s="17"/>
      <c r="UBQ192" s="17"/>
      <c r="UBR192" s="17"/>
      <c r="UBS192" s="17"/>
      <c r="UBT192" s="17"/>
      <c r="UBU192" s="17"/>
      <c r="UBV192" s="17"/>
      <c r="UBW192" s="17"/>
      <c r="UBX192" s="17"/>
      <c r="UBY192" s="17"/>
      <c r="UBZ192" s="17"/>
      <c r="UCA192" s="17"/>
      <c r="UCB192" s="17"/>
      <c r="UCC192" s="17"/>
      <c r="UCD192" s="17"/>
      <c r="UCE192" s="17"/>
      <c r="UCF192" s="17"/>
      <c r="UCG192" s="17"/>
      <c r="UCH192" s="17"/>
      <c r="UCI192" s="17"/>
      <c r="UCJ192" s="17"/>
      <c r="UCK192" s="17"/>
      <c r="UCL192" s="17"/>
      <c r="UCM192" s="17"/>
      <c r="UCN192" s="17"/>
      <c r="UCO192" s="17"/>
      <c r="UCP192" s="17"/>
      <c r="UCQ192" s="17"/>
      <c r="UCR192" s="17"/>
      <c r="UCS192" s="17"/>
      <c r="UCT192" s="17"/>
      <c r="UCU192" s="17"/>
      <c r="UCV192" s="17"/>
      <c r="UCW192" s="17"/>
      <c r="UCX192" s="17"/>
      <c r="UCY192" s="17"/>
      <c r="UCZ192" s="17"/>
      <c r="UDA192" s="17"/>
      <c r="UDB192" s="17"/>
      <c r="UDC192" s="17"/>
      <c r="UDD192" s="17"/>
      <c r="UDE192" s="17"/>
      <c r="UDF192" s="17"/>
      <c r="UDG192" s="17"/>
      <c r="UDH192" s="17"/>
      <c r="UDI192" s="17"/>
      <c r="UDJ192" s="17"/>
      <c r="UDK192" s="17"/>
      <c r="UDL192" s="17"/>
      <c r="UDM192" s="17"/>
      <c r="UDN192" s="17"/>
      <c r="UDO192" s="17"/>
      <c r="UDP192" s="17"/>
      <c r="UDQ192" s="17"/>
      <c r="UDR192" s="17"/>
      <c r="UDS192" s="17"/>
      <c r="UDT192" s="17"/>
      <c r="UDU192" s="17"/>
      <c r="UDV192" s="17"/>
      <c r="UDW192" s="17"/>
      <c r="UDX192" s="17"/>
      <c r="UDY192" s="17"/>
      <c r="UDZ192" s="17"/>
      <c r="UEA192" s="17"/>
      <c r="UEB192" s="17"/>
      <c r="UEC192" s="17"/>
      <c r="UED192" s="17"/>
      <c r="UEE192" s="17"/>
      <c r="UEF192" s="17"/>
      <c r="UEG192" s="17"/>
      <c r="UEH192" s="17"/>
      <c r="UEI192" s="17"/>
      <c r="UEJ192" s="17"/>
      <c r="UEK192" s="17"/>
      <c r="UEL192" s="17"/>
      <c r="UEM192" s="17"/>
      <c r="UEN192" s="17"/>
      <c r="UEO192" s="17"/>
      <c r="UEP192" s="17"/>
      <c r="UEQ192" s="17"/>
      <c r="UER192" s="17"/>
      <c r="UES192" s="17"/>
      <c r="UET192" s="17"/>
      <c r="UEU192" s="17"/>
      <c r="UEV192" s="17"/>
      <c r="UEW192" s="17"/>
      <c r="UEX192" s="17"/>
      <c r="UEY192" s="17"/>
      <c r="UEZ192" s="17"/>
      <c r="UFA192" s="17"/>
      <c r="UFB192" s="17"/>
      <c r="UFC192" s="17"/>
      <c r="UFD192" s="17"/>
      <c r="UFE192" s="17"/>
      <c r="UFF192" s="17"/>
      <c r="UFG192" s="17"/>
      <c r="UFH192" s="17"/>
      <c r="UFI192" s="17"/>
      <c r="UFJ192" s="17"/>
      <c r="UFK192" s="17"/>
      <c r="UFL192" s="17"/>
      <c r="UFM192" s="17"/>
      <c r="UFN192" s="17"/>
      <c r="UFO192" s="17"/>
      <c r="UFP192" s="17"/>
      <c r="UFQ192" s="17"/>
      <c r="UFR192" s="17"/>
      <c r="UFS192" s="17"/>
      <c r="UFT192" s="17"/>
      <c r="UFU192" s="17"/>
      <c r="UFV192" s="17"/>
      <c r="UFW192" s="17"/>
      <c r="UFX192" s="17"/>
      <c r="UFY192" s="17"/>
      <c r="UFZ192" s="17"/>
      <c r="UGA192" s="17"/>
      <c r="UGB192" s="17"/>
      <c r="UGC192" s="17"/>
      <c r="UGD192" s="17"/>
      <c r="UGE192" s="17"/>
      <c r="UGF192" s="17"/>
      <c r="UGG192" s="17"/>
      <c r="UGH192" s="17"/>
      <c r="UGI192" s="17"/>
      <c r="UGJ192" s="17"/>
      <c r="UGK192" s="17"/>
      <c r="UGL192" s="17"/>
      <c r="UGM192" s="17"/>
      <c r="UGN192" s="17"/>
      <c r="UGO192" s="17"/>
      <c r="UGP192" s="17"/>
      <c r="UGQ192" s="17"/>
      <c r="UGR192" s="17"/>
      <c r="UGS192" s="17"/>
      <c r="UGT192" s="17"/>
      <c r="UGU192" s="17"/>
      <c r="UGV192" s="17"/>
      <c r="UGW192" s="17"/>
      <c r="UGX192" s="17"/>
      <c r="UGY192" s="17"/>
      <c r="UGZ192" s="17"/>
      <c r="UHA192" s="17"/>
      <c r="UHB192" s="17"/>
      <c r="UHC192" s="17"/>
      <c r="UHD192" s="17"/>
      <c r="UHE192" s="17"/>
      <c r="UHF192" s="17"/>
      <c r="UHG192" s="17"/>
      <c r="UHH192" s="17"/>
      <c r="UHI192" s="17"/>
      <c r="UHJ192" s="17"/>
      <c r="UHK192" s="17"/>
      <c r="UHL192" s="17"/>
      <c r="UHM192" s="17"/>
      <c r="UHN192" s="17"/>
      <c r="UHO192" s="17"/>
      <c r="UHP192" s="17"/>
      <c r="UHQ192" s="17"/>
      <c r="UHR192" s="17"/>
      <c r="UHS192" s="17"/>
      <c r="UHT192" s="17"/>
      <c r="UHU192" s="17"/>
      <c r="UHV192" s="17"/>
      <c r="UHW192" s="17"/>
      <c r="UHX192" s="17"/>
      <c r="UHY192" s="17"/>
      <c r="UHZ192" s="17"/>
      <c r="UIA192" s="17"/>
      <c r="UIB192" s="17"/>
      <c r="UIC192" s="17"/>
      <c r="UID192" s="17"/>
      <c r="UIE192" s="17"/>
      <c r="UIF192" s="17"/>
      <c r="UIG192" s="17"/>
      <c r="UIH192" s="17"/>
      <c r="UII192" s="17"/>
      <c r="UIJ192" s="17"/>
      <c r="UIK192" s="17"/>
      <c r="UIL192" s="17"/>
      <c r="UIM192" s="17"/>
      <c r="UIN192" s="17"/>
      <c r="UIO192" s="17"/>
      <c r="UIP192" s="17"/>
      <c r="UIQ192" s="17"/>
      <c r="UIR192" s="17"/>
      <c r="UIS192" s="17"/>
      <c r="UIT192" s="17"/>
      <c r="UIU192" s="17"/>
      <c r="UIV192" s="17"/>
      <c r="UIW192" s="17"/>
      <c r="UIX192" s="17"/>
      <c r="UIY192" s="17"/>
      <c r="UIZ192" s="17"/>
      <c r="UJA192" s="17"/>
      <c r="UJB192" s="17"/>
      <c r="UJC192" s="17"/>
      <c r="UJD192" s="17"/>
      <c r="UJE192" s="17"/>
      <c r="UJF192" s="17"/>
      <c r="UJG192" s="17"/>
      <c r="UJH192" s="17"/>
      <c r="UJI192" s="17"/>
      <c r="UJJ192" s="17"/>
      <c r="UJK192" s="17"/>
      <c r="UJL192" s="17"/>
      <c r="UJM192" s="17"/>
      <c r="UJN192" s="17"/>
      <c r="UJO192" s="17"/>
      <c r="UJP192" s="17"/>
      <c r="UJQ192" s="17"/>
      <c r="UJR192" s="17"/>
      <c r="UJS192" s="17"/>
      <c r="UJT192" s="17"/>
      <c r="UJU192" s="17"/>
      <c r="UJV192" s="17"/>
      <c r="UJW192" s="17"/>
      <c r="UJX192" s="17"/>
      <c r="UJY192" s="17"/>
      <c r="UJZ192" s="17"/>
      <c r="UKA192" s="17"/>
      <c r="UKB192" s="17"/>
      <c r="UKC192" s="17"/>
      <c r="UKD192" s="17"/>
      <c r="UKE192" s="17"/>
      <c r="UKF192" s="17"/>
      <c r="UKG192" s="17"/>
      <c r="UKH192" s="17"/>
      <c r="UKI192" s="17"/>
      <c r="UKJ192" s="17"/>
      <c r="UKK192" s="17"/>
      <c r="UKL192" s="17"/>
      <c r="UKM192" s="17"/>
      <c r="UKN192" s="17"/>
      <c r="UKO192" s="17"/>
      <c r="UKP192" s="17"/>
      <c r="UKQ192" s="17"/>
      <c r="UKR192" s="17"/>
      <c r="UKS192" s="17"/>
      <c r="UKT192" s="17"/>
      <c r="UKU192" s="17"/>
      <c r="UKV192" s="17"/>
      <c r="UKW192" s="17"/>
      <c r="UKX192" s="17"/>
      <c r="UKY192" s="17"/>
      <c r="UKZ192" s="17"/>
      <c r="ULA192" s="17"/>
      <c r="ULB192" s="17"/>
      <c r="ULC192" s="17"/>
      <c r="ULD192" s="17"/>
      <c r="ULE192" s="17"/>
      <c r="ULF192" s="17"/>
      <c r="ULG192" s="17"/>
      <c r="ULH192" s="17"/>
      <c r="ULI192" s="17"/>
      <c r="ULJ192" s="17"/>
      <c r="ULK192" s="17"/>
      <c r="ULL192" s="17"/>
      <c r="ULM192" s="17"/>
      <c r="ULN192" s="17"/>
      <c r="ULO192" s="17"/>
      <c r="ULP192" s="17"/>
      <c r="ULQ192" s="17"/>
      <c r="ULR192" s="17"/>
      <c r="ULS192" s="17"/>
      <c r="ULT192" s="17"/>
      <c r="ULU192" s="17"/>
      <c r="ULV192" s="17"/>
      <c r="ULW192" s="17"/>
      <c r="ULX192" s="17"/>
      <c r="ULY192" s="17"/>
      <c r="ULZ192" s="17"/>
      <c r="UMA192" s="17"/>
      <c r="UMB192" s="17"/>
      <c r="UMC192" s="17"/>
      <c r="UMD192" s="17"/>
      <c r="UME192" s="17"/>
      <c r="UMF192" s="17"/>
      <c r="UMG192" s="17"/>
      <c r="UMH192" s="17"/>
      <c r="UMI192" s="17"/>
      <c r="UMJ192" s="17"/>
      <c r="UMK192" s="17"/>
      <c r="UML192" s="17"/>
      <c r="UMM192" s="17"/>
      <c r="UMN192" s="17"/>
      <c r="UMO192" s="17"/>
      <c r="UMP192" s="17"/>
      <c r="UMQ192" s="17"/>
      <c r="UMR192" s="17"/>
      <c r="UMS192" s="17"/>
      <c r="UMT192" s="17"/>
      <c r="UMU192" s="17"/>
      <c r="UMV192" s="17"/>
      <c r="UMW192" s="17"/>
      <c r="UMX192" s="17"/>
      <c r="UMY192" s="17"/>
      <c r="UMZ192" s="17"/>
      <c r="UNA192" s="17"/>
      <c r="UNB192" s="17"/>
      <c r="UNC192" s="17"/>
      <c r="UND192" s="17"/>
      <c r="UNE192" s="17"/>
      <c r="UNF192" s="17"/>
      <c r="UNG192" s="17"/>
      <c r="UNH192" s="17"/>
      <c r="UNI192" s="17"/>
      <c r="UNJ192" s="17"/>
      <c r="UNK192" s="17"/>
      <c r="UNL192" s="17"/>
      <c r="UNM192" s="17"/>
      <c r="UNN192" s="17"/>
      <c r="UNO192" s="17"/>
      <c r="UNP192" s="17"/>
      <c r="UNQ192" s="17"/>
      <c r="UNR192" s="17"/>
      <c r="UNS192" s="17"/>
      <c r="UNT192" s="17"/>
      <c r="UNU192" s="17"/>
      <c r="UNV192" s="17"/>
      <c r="UNW192" s="17"/>
      <c r="UNX192" s="17"/>
      <c r="UNY192" s="17"/>
      <c r="UNZ192" s="17"/>
      <c r="UOA192" s="17"/>
      <c r="UOB192" s="17"/>
      <c r="UOC192" s="17"/>
      <c r="UOD192" s="17"/>
      <c r="UOE192" s="17"/>
      <c r="UOF192" s="17"/>
      <c r="UOG192" s="17"/>
      <c r="UOH192" s="17"/>
      <c r="UOI192" s="17"/>
      <c r="UOJ192" s="17"/>
      <c r="UOK192" s="17"/>
      <c r="UOL192" s="17"/>
      <c r="UOM192" s="17"/>
      <c r="UON192" s="17"/>
      <c r="UOO192" s="17"/>
      <c r="UOP192" s="17"/>
      <c r="UOQ192" s="17"/>
      <c r="UOR192" s="17"/>
      <c r="UOS192" s="17"/>
      <c r="UOT192" s="17"/>
      <c r="UOU192" s="17"/>
      <c r="UOV192" s="17"/>
      <c r="UOW192" s="17"/>
      <c r="UOX192" s="17"/>
      <c r="UOY192" s="17"/>
      <c r="UOZ192" s="17"/>
      <c r="UPA192" s="17"/>
      <c r="UPB192" s="17"/>
      <c r="UPC192" s="17"/>
      <c r="UPD192" s="17"/>
      <c r="UPE192" s="17"/>
      <c r="UPF192" s="17"/>
      <c r="UPG192" s="17"/>
      <c r="UPH192" s="17"/>
      <c r="UPI192" s="17"/>
      <c r="UPJ192" s="17"/>
      <c r="UPK192" s="17"/>
      <c r="UPL192" s="17"/>
      <c r="UPM192" s="17"/>
      <c r="UPN192" s="17"/>
      <c r="UPO192" s="17"/>
      <c r="UPP192" s="17"/>
      <c r="UPQ192" s="17"/>
      <c r="UPR192" s="17"/>
      <c r="UPS192" s="17"/>
      <c r="UPT192" s="17"/>
      <c r="UPU192" s="17"/>
      <c r="UPV192" s="17"/>
      <c r="UPW192" s="17"/>
      <c r="UPX192" s="17"/>
      <c r="UPY192" s="17"/>
      <c r="UPZ192" s="17"/>
      <c r="UQA192" s="17"/>
      <c r="UQB192" s="17"/>
      <c r="UQC192" s="17"/>
      <c r="UQD192" s="17"/>
      <c r="UQE192" s="17"/>
      <c r="UQF192" s="17"/>
      <c r="UQG192" s="17"/>
      <c r="UQH192" s="17"/>
      <c r="UQI192" s="17"/>
      <c r="UQJ192" s="17"/>
      <c r="UQK192" s="17"/>
      <c r="UQL192" s="17"/>
      <c r="UQM192" s="17"/>
      <c r="UQN192" s="17"/>
      <c r="UQO192" s="17"/>
      <c r="UQP192" s="17"/>
      <c r="UQQ192" s="17"/>
      <c r="UQR192" s="17"/>
      <c r="UQS192" s="17"/>
      <c r="UQT192" s="17"/>
      <c r="UQU192" s="17"/>
      <c r="UQV192" s="17"/>
      <c r="UQW192" s="17"/>
      <c r="UQX192" s="17"/>
      <c r="UQY192" s="17"/>
      <c r="UQZ192" s="17"/>
      <c r="URA192" s="17"/>
      <c r="URB192" s="17"/>
      <c r="URC192" s="17"/>
      <c r="URD192" s="17"/>
      <c r="URE192" s="17"/>
      <c r="URF192" s="17"/>
      <c r="URG192" s="17"/>
      <c r="URH192" s="17"/>
      <c r="URI192" s="17"/>
      <c r="URJ192" s="17"/>
      <c r="URK192" s="17"/>
      <c r="URL192" s="17"/>
      <c r="URM192" s="17"/>
      <c r="URN192" s="17"/>
      <c r="URO192" s="17"/>
      <c r="URP192" s="17"/>
      <c r="URQ192" s="17"/>
      <c r="URR192" s="17"/>
      <c r="URS192" s="17"/>
      <c r="URT192" s="17"/>
      <c r="URU192" s="17"/>
      <c r="URV192" s="17"/>
      <c r="URW192" s="17"/>
      <c r="URX192" s="17"/>
      <c r="URY192" s="17"/>
      <c r="URZ192" s="17"/>
      <c r="USA192" s="17"/>
      <c r="USB192" s="17"/>
      <c r="USC192" s="17"/>
      <c r="USD192" s="17"/>
      <c r="USE192" s="17"/>
      <c r="USF192" s="17"/>
      <c r="USG192" s="17"/>
      <c r="USH192" s="17"/>
      <c r="USI192" s="17"/>
      <c r="USJ192" s="17"/>
      <c r="USK192" s="17"/>
      <c r="USL192" s="17"/>
      <c r="USM192" s="17"/>
      <c r="USN192" s="17"/>
      <c r="USO192" s="17"/>
      <c r="USP192" s="17"/>
      <c r="USQ192" s="17"/>
      <c r="USR192" s="17"/>
      <c r="USS192" s="17"/>
      <c r="UST192" s="17"/>
      <c r="USU192" s="17"/>
      <c r="USV192" s="17"/>
      <c r="USW192" s="17"/>
      <c r="USX192" s="17"/>
      <c r="USY192" s="17"/>
      <c r="USZ192" s="17"/>
      <c r="UTA192" s="17"/>
      <c r="UTB192" s="17"/>
      <c r="UTC192" s="17"/>
      <c r="UTD192" s="17"/>
      <c r="UTE192" s="17"/>
      <c r="UTF192" s="17"/>
      <c r="UTG192" s="17"/>
      <c r="UTH192" s="17"/>
      <c r="UTI192" s="17"/>
      <c r="UTJ192" s="17"/>
      <c r="UTK192" s="17"/>
      <c r="UTL192" s="17"/>
      <c r="UTM192" s="17"/>
      <c r="UTN192" s="17"/>
      <c r="UTO192" s="17"/>
      <c r="UTP192" s="17"/>
      <c r="UTQ192" s="17"/>
      <c r="UTR192" s="17"/>
      <c r="UTS192" s="17"/>
      <c r="UTT192" s="17"/>
      <c r="UTU192" s="17"/>
      <c r="UTV192" s="17"/>
      <c r="UTW192" s="17"/>
      <c r="UTX192" s="17"/>
      <c r="UTY192" s="17"/>
      <c r="UTZ192" s="17"/>
      <c r="UUA192" s="17"/>
      <c r="UUB192" s="17"/>
      <c r="UUC192" s="17"/>
      <c r="UUD192" s="17"/>
      <c r="UUE192" s="17"/>
      <c r="UUF192" s="17"/>
      <c r="UUG192" s="17"/>
      <c r="UUH192" s="17"/>
      <c r="UUI192" s="17"/>
      <c r="UUJ192" s="17"/>
      <c r="UUK192" s="17"/>
      <c r="UUL192" s="17"/>
      <c r="UUM192" s="17"/>
      <c r="UUN192" s="17"/>
      <c r="UUO192" s="17"/>
      <c r="UUP192" s="17"/>
      <c r="UUQ192" s="17"/>
      <c r="UUR192" s="17"/>
      <c r="UUS192" s="17"/>
      <c r="UUT192" s="17"/>
      <c r="UUU192" s="17"/>
      <c r="UUV192" s="17"/>
      <c r="UUW192" s="17"/>
      <c r="UUX192" s="17"/>
      <c r="UUY192" s="17"/>
      <c r="UUZ192" s="17"/>
      <c r="UVA192" s="17"/>
      <c r="UVB192" s="17"/>
      <c r="UVC192" s="17"/>
      <c r="UVD192" s="17"/>
      <c r="UVE192" s="17"/>
      <c r="UVF192" s="17"/>
      <c r="UVG192" s="17"/>
      <c r="UVH192" s="17"/>
      <c r="UVI192" s="17"/>
      <c r="UVJ192" s="17"/>
      <c r="UVK192" s="17"/>
      <c r="UVL192" s="17"/>
      <c r="UVM192" s="17"/>
      <c r="UVN192" s="17"/>
      <c r="UVO192" s="17"/>
      <c r="UVP192" s="17"/>
      <c r="UVQ192" s="17"/>
      <c r="UVR192" s="17"/>
      <c r="UVS192" s="17"/>
      <c r="UVT192" s="17"/>
      <c r="UVU192" s="17"/>
      <c r="UVV192" s="17"/>
      <c r="UVW192" s="17"/>
      <c r="UVX192" s="17"/>
      <c r="UVY192" s="17"/>
      <c r="UVZ192" s="17"/>
      <c r="UWA192" s="17"/>
      <c r="UWB192" s="17"/>
      <c r="UWC192" s="17"/>
      <c r="UWD192" s="17"/>
      <c r="UWE192" s="17"/>
      <c r="UWF192" s="17"/>
      <c r="UWG192" s="17"/>
      <c r="UWH192" s="17"/>
      <c r="UWI192" s="17"/>
      <c r="UWJ192" s="17"/>
      <c r="UWK192" s="17"/>
      <c r="UWL192" s="17"/>
      <c r="UWM192" s="17"/>
      <c r="UWN192" s="17"/>
      <c r="UWO192" s="17"/>
      <c r="UWP192" s="17"/>
      <c r="UWQ192" s="17"/>
      <c r="UWR192" s="17"/>
      <c r="UWS192" s="17"/>
      <c r="UWT192" s="17"/>
      <c r="UWU192" s="17"/>
      <c r="UWV192" s="17"/>
      <c r="UWW192" s="17"/>
      <c r="UWX192" s="17"/>
      <c r="UWY192" s="17"/>
      <c r="UWZ192" s="17"/>
      <c r="UXA192" s="17"/>
      <c r="UXB192" s="17"/>
      <c r="UXC192" s="17"/>
      <c r="UXD192" s="17"/>
      <c r="UXE192" s="17"/>
      <c r="UXF192" s="17"/>
      <c r="UXG192" s="17"/>
      <c r="UXH192" s="17"/>
      <c r="UXI192" s="17"/>
      <c r="UXJ192" s="17"/>
      <c r="UXK192" s="17"/>
      <c r="UXL192" s="17"/>
      <c r="UXM192" s="17"/>
      <c r="UXN192" s="17"/>
      <c r="UXO192" s="17"/>
      <c r="UXP192" s="17"/>
      <c r="UXQ192" s="17"/>
      <c r="UXR192" s="17"/>
      <c r="UXS192" s="17"/>
      <c r="UXT192" s="17"/>
      <c r="UXU192" s="17"/>
      <c r="UXV192" s="17"/>
      <c r="UXW192" s="17"/>
      <c r="UXX192" s="17"/>
      <c r="UXY192" s="17"/>
      <c r="UXZ192" s="17"/>
      <c r="UYA192" s="17"/>
      <c r="UYB192" s="17"/>
      <c r="UYC192" s="17"/>
      <c r="UYD192" s="17"/>
      <c r="UYE192" s="17"/>
      <c r="UYF192" s="17"/>
      <c r="UYG192" s="17"/>
      <c r="UYH192" s="17"/>
      <c r="UYI192" s="17"/>
      <c r="UYJ192" s="17"/>
      <c r="UYK192" s="17"/>
      <c r="UYL192" s="17"/>
      <c r="UYM192" s="17"/>
      <c r="UYN192" s="17"/>
      <c r="UYO192" s="17"/>
      <c r="UYP192" s="17"/>
      <c r="UYQ192" s="17"/>
      <c r="UYR192" s="17"/>
      <c r="UYS192" s="17"/>
      <c r="UYT192" s="17"/>
      <c r="UYU192" s="17"/>
      <c r="UYV192" s="17"/>
      <c r="UYW192" s="17"/>
      <c r="UYX192" s="17"/>
      <c r="UYY192" s="17"/>
      <c r="UYZ192" s="17"/>
      <c r="UZA192" s="17"/>
      <c r="UZB192" s="17"/>
      <c r="UZC192" s="17"/>
      <c r="UZD192" s="17"/>
      <c r="UZE192" s="17"/>
      <c r="UZF192" s="17"/>
      <c r="UZG192" s="17"/>
      <c r="UZH192" s="17"/>
      <c r="UZI192" s="17"/>
      <c r="UZJ192" s="17"/>
      <c r="UZK192" s="17"/>
      <c r="UZL192" s="17"/>
      <c r="UZM192" s="17"/>
      <c r="UZN192" s="17"/>
      <c r="UZO192" s="17"/>
      <c r="UZP192" s="17"/>
      <c r="UZQ192" s="17"/>
      <c r="UZR192" s="17"/>
      <c r="UZS192" s="17"/>
      <c r="UZT192" s="17"/>
      <c r="UZU192" s="17"/>
      <c r="UZV192" s="17"/>
      <c r="UZW192" s="17"/>
      <c r="UZX192" s="17"/>
      <c r="UZY192" s="17"/>
      <c r="UZZ192" s="17"/>
      <c r="VAA192" s="17"/>
      <c r="VAB192" s="17"/>
      <c r="VAC192" s="17"/>
      <c r="VAD192" s="17"/>
      <c r="VAE192" s="17"/>
      <c r="VAF192" s="17"/>
      <c r="VAG192" s="17"/>
      <c r="VAH192" s="17"/>
      <c r="VAI192" s="17"/>
      <c r="VAJ192" s="17"/>
      <c r="VAK192" s="17"/>
      <c r="VAL192" s="17"/>
      <c r="VAM192" s="17"/>
      <c r="VAN192" s="17"/>
      <c r="VAO192" s="17"/>
      <c r="VAP192" s="17"/>
      <c r="VAQ192" s="17"/>
      <c r="VAR192" s="17"/>
      <c r="VAS192" s="17"/>
      <c r="VAT192" s="17"/>
      <c r="VAU192" s="17"/>
      <c r="VAV192" s="17"/>
      <c r="VAW192" s="17"/>
      <c r="VAX192" s="17"/>
      <c r="VAY192" s="17"/>
      <c r="VAZ192" s="17"/>
      <c r="VBA192" s="17"/>
      <c r="VBB192" s="17"/>
      <c r="VBC192" s="17"/>
      <c r="VBD192" s="17"/>
      <c r="VBE192" s="17"/>
      <c r="VBF192" s="17"/>
      <c r="VBG192" s="17"/>
      <c r="VBH192" s="17"/>
      <c r="VBI192" s="17"/>
      <c r="VBJ192" s="17"/>
      <c r="VBK192" s="17"/>
      <c r="VBL192" s="17"/>
      <c r="VBM192" s="17"/>
      <c r="VBN192" s="17"/>
      <c r="VBO192" s="17"/>
      <c r="VBP192" s="17"/>
      <c r="VBQ192" s="17"/>
      <c r="VBR192" s="17"/>
      <c r="VBS192" s="17"/>
      <c r="VBT192" s="17"/>
      <c r="VBU192" s="17"/>
      <c r="VBV192" s="17"/>
      <c r="VBW192" s="17"/>
      <c r="VBX192" s="17"/>
      <c r="VBY192" s="17"/>
      <c r="VBZ192" s="17"/>
      <c r="VCA192" s="17"/>
      <c r="VCB192" s="17"/>
      <c r="VCC192" s="17"/>
      <c r="VCD192" s="17"/>
      <c r="VCE192" s="17"/>
      <c r="VCF192" s="17"/>
      <c r="VCG192" s="17"/>
      <c r="VCH192" s="17"/>
      <c r="VCI192" s="17"/>
      <c r="VCJ192" s="17"/>
      <c r="VCK192" s="17"/>
      <c r="VCL192" s="17"/>
      <c r="VCM192" s="17"/>
      <c r="VCN192" s="17"/>
      <c r="VCO192" s="17"/>
      <c r="VCP192" s="17"/>
      <c r="VCQ192" s="17"/>
      <c r="VCR192" s="17"/>
      <c r="VCS192" s="17"/>
      <c r="VCT192" s="17"/>
      <c r="VCU192" s="17"/>
      <c r="VCV192" s="17"/>
      <c r="VCW192" s="17"/>
      <c r="VCX192" s="17"/>
      <c r="VCY192" s="17"/>
      <c r="VCZ192" s="17"/>
      <c r="VDA192" s="17"/>
      <c r="VDB192" s="17"/>
      <c r="VDC192" s="17"/>
      <c r="VDD192" s="17"/>
      <c r="VDE192" s="17"/>
      <c r="VDF192" s="17"/>
      <c r="VDG192" s="17"/>
      <c r="VDH192" s="17"/>
      <c r="VDI192" s="17"/>
      <c r="VDJ192" s="17"/>
      <c r="VDK192" s="17"/>
      <c r="VDL192" s="17"/>
      <c r="VDM192" s="17"/>
      <c r="VDN192" s="17"/>
      <c r="VDO192" s="17"/>
      <c r="VDP192" s="17"/>
      <c r="VDQ192" s="17"/>
      <c r="VDR192" s="17"/>
      <c r="VDS192" s="17"/>
      <c r="VDT192" s="17"/>
      <c r="VDU192" s="17"/>
      <c r="VDV192" s="17"/>
      <c r="VDW192" s="17"/>
      <c r="VDX192" s="17"/>
      <c r="VDY192" s="17"/>
      <c r="VDZ192" s="17"/>
      <c r="VEA192" s="17"/>
      <c r="VEB192" s="17"/>
      <c r="VEC192" s="17"/>
      <c r="VED192" s="17"/>
      <c r="VEE192" s="17"/>
      <c r="VEF192" s="17"/>
      <c r="VEG192" s="17"/>
      <c r="VEH192" s="17"/>
      <c r="VEI192" s="17"/>
      <c r="VEJ192" s="17"/>
      <c r="VEK192" s="17"/>
      <c r="VEL192" s="17"/>
      <c r="VEM192" s="17"/>
      <c r="VEN192" s="17"/>
      <c r="VEO192" s="17"/>
      <c r="VEP192" s="17"/>
      <c r="VEQ192" s="17"/>
      <c r="VER192" s="17"/>
      <c r="VES192" s="17"/>
      <c r="VET192" s="17"/>
      <c r="VEU192" s="17"/>
      <c r="VEV192" s="17"/>
      <c r="VEW192" s="17"/>
      <c r="VEX192" s="17"/>
      <c r="VEY192" s="17"/>
      <c r="VEZ192" s="17"/>
      <c r="VFA192" s="17"/>
      <c r="VFB192" s="17"/>
      <c r="VFC192" s="17"/>
      <c r="VFD192" s="17"/>
      <c r="VFE192" s="17"/>
      <c r="VFF192" s="17"/>
      <c r="VFG192" s="17"/>
      <c r="VFH192" s="17"/>
      <c r="VFI192" s="17"/>
      <c r="VFJ192" s="17"/>
      <c r="VFK192" s="17"/>
      <c r="VFL192" s="17"/>
      <c r="VFM192" s="17"/>
      <c r="VFN192" s="17"/>
      <c r="VFO192" s="17"/>
      <c r="VFP192" s="17"/>
      <c r="VFQ192" s="17"/>
      <c r="VFR192" s="17"/>
      <c r="VFS192" s="17"/>
      <c r="VFT192" s="17"/>
      <c r="VFU192" s="17"/>
      <c r="VFV192" s="17"/>
      <c r="VFW192" s="17"/>
      <c r="VFX192" s="17"/>
      <c r="VFY192" s="17"/>
      <c r="VFZ192" s="17"/>
      <c r="VGA192" s="17"/>
      <c r="VGB192" s="17"/>
      <c r="VGC192" s="17"/>
      <c r="VGD192" s="17"/>
      <c r="VGE192" s="17"/>
      <c r="VGF192" s="17"/>
      <c r="VGG192" s="17"/>
      <c r="VGH192" s="17"/>
      <c r="VGI192" s="17"/>
      <c r="VGJ192" s="17"/>
      <c r="VGK192" s="17"/>
      <c r="VGL192" s="17"/>
      <c r="VGM192" s="17"/>
      <c r="VGN192" s="17"/>
      <c r="VGO192" s="17"/>
      <c r="VGP192" s="17"/>
      <c r="VGQ192" s="17"/>
      <c r="VGR192" s="17"/>
      <c r="VGS192" s="17"/>
      <c r="VGT192" s="17"/>
      <c r="VGU192" s="17"/>
      <c r="VGV192" s="17"/>
      <c r="VGW192" s="17"/>
      <c r="VGX192" s="17"/>
      <c r="VGY192" s="17"/>
      <c r="VGZ192" s="17"/>
      <c r="VHA192" s="17"/>
      <c r="VHB192" s="17"/>
      <c r="VHC192" s="17"/>
      <c r="VHD192" s="17"/>
      <c r="VHE192" s="17"/>
      <c r="VHF192" s="17"/>
      <c r="VHG192" s="17"/>
      <c r="VHH192" s="17"/>
      <c r="VHI192" s="17"/>
      <c r="VHJ192" s="17"/>
      <c r="VHK192" s="17"/>
      <c r="VHL192" s="17"/>
      <c r="VHM192" s="17"/>
      <c r="VHN192" s="17"/>
      <c r="VHO192" s="17"/>
      <c r="VHP192" s="17"/>
      <c r="VHQ192" s="17"/>
      <c r="VHR192" s="17"/>
      <c r="VHS192" s="17"/>
      <c r="VHT192" s="17"/>
      <c r="VHU192" s="17"/>
      <c r="VHV192" s="17"/>
      <c r="VHW192" s="17"/>
      <c r="VHX192" s="17"/>
      <c r="VHY192" s="17"/>
      <c r="VHZ192" s="17"/>
      <c r="VIA192" s="17"/>
      <c r="VIB192" s="17"/>
      <c r="VIC192" s="17"/>
      <c r="VID192" s="17"/>
      <c r="VIE192" s="17"/>
      <c r="VIF192" s="17"/>
      <c r="VIG192" s="17"/>
      <c r="VIH192" s="17"/>
      <c r="VII192" s="17"/>
      <c r="VIJ192" s="17"/>
      <c r="VIK192" s="17"/>
      <c r="VIL192" s="17"/>
      <c r="VIM192" s="17"/>
      <c r="VIN192" s="17"/>
      <c r="VIO192" s="17"/>
      <c r="VIP192" s="17"/>
      <c r="VIQ192" s="17"/>
      <c r="VIR192" s="17"/>
      <c r="VIS192" s="17"/>
      <c r="VIT192" s="17"/>
      <c r="VIU192" s="17"/>
      <c r="VIV192" s="17"/>
      <c r="VIW192" s="17"/>
      <c r="VIX192" s="17"/>
      <c r="VIY192" s="17"/>
      <c r="VIZ192" s="17"/>
      <c r="VJA192" s="17"/>
      <c r="VJB192" s="17"/>
      <c r="VJC192" s="17"/>
      <c r="VJD192" s="17"/>
      <c r="VJE192" s="17"/>
      <c r="VJF192" s="17"/>
      <c r="VJG192" s="17"/>
      <c r="VJH192" s="17"/>
      <c r="VJI192" s="17"/>
      <c r="VJJ192" s="17"/>
      <c r="VJK192" s="17"/>
      <c r="VJL192" s="17"/>
      <c r="VJM192" s="17"/>
      <c r="VJN192" s="17"/>
      <c r="VJO192" s="17"/>
      <c r="VJP192" s="17"/>
      <c r="VJQ192" s="17"/>
      <c r="VJR192" s="17"/>
      <c r="VJS192" s="17"/>
      <c r="VJT192" s="17"/>
      <c r="VJU192" s="17"/>
      <c r="VJV192" s="17"/>
      <c r="VJW192" s="17"/>
      <c r="VJX192" s="17"/>
      <c r="VJY192" s="17"/>
      <c r="VJZ192" s="17"/>
      <c r="VKA192" s="17"/>
      <c r="VKB192" s="17"/>
      <c r="VKC192" s="17"/>
      <c r="VKD192" s="17"/>
      <c r="VKE192" s="17"/>
      <c r="VKF192" s="17"/>
      <c r="VKG192" s="17"/>
      <c r="VKH192" s="17"/>
      <c r="VKI192" s="17"/>
      <c r="VKJ192" s="17"/>
      <c r="VKK192" s="17"/>
      <c r="VKL192" s="17"/>
      <c r="VKM192" s="17"/>
      <c r="VKN192" s="17"/>
      <c r="VKO192" s="17"/>
      <c r="VKP192" s="17"/>
      <c r="VKQ192" s="17"/>
      <c r="VKR192" s="17"/>
      <c r="VKS192" s="17"/>
      <c r="VKT192" s="17"/>
      <c r="VKU192" s="17"/>
      <c r="VKV192" s="17"/>
      <c r="VKW192" s="17"/>
      <c r="VKX192" s="17"/>
      <c r="VKY192" s="17"/>
      <c r="VKZ192" s="17"/>
      <c r="VLA192" s="17"/>
      <c r="VLB192" s="17"/>
      <c r="VLC192" s="17"/>
      <c r="VLD192" s="17"/>
      <c r="VLE192" s="17"/>
      <c r="VLF192" s="17"/>
      <c r="VLG192" s="17"/>
      <c r="VLH192" s="17"/>
      <c r="VLI192" s="17"/>
      <c r="VLJ192" s="17"/>
      <c r="VLK192" s="17"/>
      <c r="VLL192" s="17"/>
      <c r="VLM192" s="17"/>
      <c r="VLN192" s="17"/>
      <c r="VLO192" s="17"/>
      <c r="VLP192" s="17"/>
      <c r="VLQ192" s="17"/>
      <c r="VLR192" s="17"/>
      <c r="VLS192" s="17"/>
      <c r="VLT192" s="17"/>
      <c r="VLU192" s="17"/>
      <c r="VLV192" s="17"/>
      <c r="VLW192" s="17"/>
      <c r="VLX192" s="17"/>
      <c r="VLY192" s="17"/>
      <c r="VLZ192" s="17"/>
      <c r="VMA192" s="17"/>
      <c r="VMB192" s="17"/>
      <c r="VMC192" s="17"/>
      <c r="VMD192" s="17"/>
      <c r="VME192" s="17"/>
      <c r="VMF192" s="17"/>
      <c r="VMG192" s="17"/>
      <c r="VMH192" s="17"/>
      <c r="VMI192" s="17"/>
      <c r="VMJ192" s="17"/>
      <c r="VMK192" s="17"/>
      <c r="VML192" s="17"/>
      <c r="VMM192" s="17"/>
      <c r="VMN192" s="17"/>
      <c r="VMO192" s="17"/>
      <c r="VMP192" s="17"/>
      <c r="VMQ192" s="17"/>
      <c r="VMR192" s="17"/>
      <c r="VMS192" s="17"/>
      <c r="VMT192" s="17"/>
      <c r="VMU192" s="17"/>
      <c r="VMV192" s="17"/>
      <c r="VMW192" s="17"/>
      <c r="VMX192" s="17"/>
      <c r="VMY192" s="17"/>
      <c r="VMZ192" s="17"/>
      <c r="VNA192" s="17"/>
      <c r="VNB192" s="17"/>
      <c r="VNC192" s="17"/>
      <c r="VND192" s="17"/>
      <c r="VNE192" s="17"/>
      <c r="VNF192" s="17"/>
      <c r="VNG192" s="17"/>
      <c r="VNH192" s="17"/>
      <c r="VNI192" s="17"/>
      <c r="VNJ192" s="17"/>
      <c r="VNK192" s="17"/>
      <c r="VNL192" s="17"/>
      <c r="VNM192" s="17"/>
      <c r="VNN192" s="17"/>
      <c r="VNO192" s="17"/>
      <c r="VNP192" s="17"/>
      <c r="VNQ192" s="17"/>
      <c r="VNR192" s="17"/>
      <c r="VNS192" s="17"/>
      <c r="VNT192" s="17"/>
      <c r="VNU192" s="17"/>
      <c r="VNV192" s="17"/>
      <c r="VNW192" s="17"/>
      <c r="VNX192" s="17"/>
      <c r="VNY192" s="17"/>
      <c r="VNZ192" s="17"/>
      <c r="VOA192" s="17"/>
      <c r="VOB192" s="17"/>
      <c r="VOC192" s="17"/>
      <c r="VOD192" s="17"/>
      <c r="VOE192" s="17"/>
      <c r="VOF192" s="17"/>
      <c r="VOG192" s="17"/>
      <c r="VOH192" s="17"/>
      <c r="VOI192" s="17"/>
      <c r="VOJ192" s="17"/>
      <c r="VOK192" s="17"/>
      <c r="VOL192" s="17"/>
      <c r="VOM192" s="17"/>
      <c r="VON192" s="17"/>
      <c r="VOO192" s="17"/>
      <c r="VOP192" s="17"/>
      <c r="VOQ192" s="17"/>
      <c r="VOR192" s="17"/>
      <c r="VOS192" s="17"/>
      <c r="VOT192" s="17"/>
      <c r="VOU192" s="17"/>
      <c r="VOV192" s="17"/>
      <c r="VOW192" s="17"/>
      <c r="VOX192" s="17"/>
      <c r="VOY192" s="17"/>
      <c r="VOZ192" s="17"/>
      <c r="VPA192" s="17"/>
      <c r="VPB192" s="17"/>
      <c r="VPC192" s="17"/>
      <c r="VPD192" s="17"/>
      <c r="VPE192" s="17"/>
      <c r="VPF192" s="17"/>
      <c r="VPG192" s="17"/>
      <c r="VPH192" s="17"/>
      <c r="VPI192" s="17"/>
      <c r="VPJ192" s="17"/>
      <c r="VPK192" s="17"/>
      <c r="VPL192" s="17"/>
      <c r="VPM192" s="17"/>
      <c r="VPN192" s="17"/>
      <c r="VPO192" s="17"/>
      <c r="VPP192" s="17"/>
      <c r="VPQ192" s="17"/>
      <c r="VPR192" s="17"/>
      <c r="VPS192" s="17"/>
      <c r="VPT192" s="17"/>
      <c r="VPU192" s="17"/>
      <c r="VPV192" s="17"/>
      <c r="VPW192" s="17"/>
      <c r="VPX192" s="17"/>
      <c r="VPY192" s="17"/>
      <c r="VPZ192" s="17"/>
      <c r="VQA192" s="17"/>
      <c r="VQB192" s="17"/>
      <c r="VQC192" s="17"/>
      <c r="VQD192" s="17"/>
      <c r="VQE192" s="17"/>
      <c r="VQF192" s="17"/>
      <c r="VQG192" s="17"/>
      <c r="VQH192" s="17"/>
      <c r="VQI192" s="17"/>
      <c r="VQJ192" s="17"/>
      <c r="VQK192" s="17"/>
      <c r="VQL192" s="17"/>
      <c r="VQM192" s="17"/>
      <c r="VQN192" s="17"/>
      <c r="VQO192" s="17"/>
      <c r="VQP192" s="17"/>
      <c r="VQQ192" s="17"/>
      <c r="VQR192" s="17"/>
      <c r="VQS192" s="17"/>
      <c r="VQT192" s="17"/>
      <c r="VQU192" s="17"/>
      <c r="VQV192" s="17"/>
      <c r="VQW192" s="17"/>
      <c r="VQX192" s="17"/>
      <c r="VQY192" s="17"/>
      <c r="VQZ192" s="17"/>
      <c r="VRA192" s="17"/>
      <c r="VRB192" s="17"/>
      <c r="VRC192" s="17"/>
      <c r="VRD192" s="17"/>
      <c r="VRE192" s="17"/>
      <c r="VRF192" s="17"/>
      <c r="VRG192" s="17"/>
      <c r="VRH192" s="17"/>
      <c r="VRI192" s="17"/>
      <c r="VRJ192" s="17"/>
      <c r="VRK192" s="17"/>
      <c r="VRL192" s="17"/>
      <c r="VRM192" s="17"/>
      <c r="VRN192" s="17"/>
      <c r="VRO192" s="17"/>
      <c r="VRP192" s="17"/>
      <c r="VRQ192" s="17"/>
      <c r="VRR192" s="17"/>
      <c r="VRS192" s="17"/>
      <c r="VRT192" s="17"/>
      <c r="VRU192" s="17"/>
      <c r="VRV192" s="17"/>
      <c r="VRW192" s="17"/>
      <c r="VRX192" s="17"/>
      <c r="VRY192" s="17"/>
      <c r="VRZ192" s="17"/>
      <c r="VSA192" s="17"/>
      <c r="VSB192" s="17"/>
      <c r="VSC192" s="17"/>
      <c r="VSD192" s="17"/>
      <c r="VSE192" s="17"/>
      <c r="VSF192" s="17"/>
      <c r="VSG192" s="17"/>
      <c r="VSH192" s="17"/>
      <c r="VSI192" s="17"/>
      <c r="VSJ192" s="17"/>
      <c r="VSK192" s="17"/>
      <c r="VSL192" s="17"/>
      <c r="VSM192" s="17"/>
      <c r="VSN192" s="17"/>
      <c r="VSO192" s="17"/>
      <c r="VSP192" s="17"/>
      <c r="VSQ192" s="17"/>
      <c r="VSR192" s="17"/>
      <c r="VSS192" s="17"/>
      <c r="VST192" s="17"/>
      <c r="VSU192" s="17"/>
      <c r="VSV192" s="17"/>
      <c r="VSW192" s="17"/>
      <c r="VSX192" s="17"/>
      <c r="VSY192" s="17"/>
      <c r="VSZ192" s="17"/>
      <c r="VTA192" s="17"/>
      <c r="VTB192" s="17"/>
      <c r="VTC192" s="17"/>
      <c r="VTD192" s="17"/>
      <c r="VTE192" s="17"/>
      <c r="VTF192" s="17"/>
      <c r="VTG192" s="17"/>
      <c r="VTH192" s="17"/>
      <c r="VTI192" s="17"/>
      <c r="VTJ192" s="17"/>
      <c r="VTK192" s="17"/>
      <c r="VTL192" s="17"/>
      <c r="VTM192" s="17"/>
      <c r="VTN192" s="17"/>
      <c r="VTO192" s="17"/>
      <c r="VTP192" s="17"/>
      <c r="VTQ192" s="17"/>
      <c r="VTR192" s="17"/>
      <c r="VTS192" s="17"/>
      <c r="VTT192" s="17"/>
      <c r="VTU192" s="17"/>
      <c r="VTV192" s="17"/>
      <c r="VTW192" s="17"/>
      <c r="VTX192" s="17"/>
      <c r="VTY192" s="17"/>
      <c r="VTZ192" s="17"/>
      <c r="VUA192" s="17"/>
      <c r="VUB192" s="17"/>
      <c r="VUC192" s="17"/>
      <c r="VUD192" s="17"/>
      <c r="VUE192" s="17"/>
      <c r="VUF192" s="17"/>
      <c r="VUG192" s="17"/>
      <c r="VUH192" s="17"/>
      <c r="VUI192" s="17"/>
      <c r="VUJ192" s="17"/>
      <c r="VUK192" s="17"/>
      <c r="VUL192" s="17"/>
      <c r="VUM192" s="17"/>
      <c r="VUN192" s="17"/>
      <c r="VUO192" s="17"/>
      <c r="VUP192" s="17"/>
      <c r="VUQ192" s="17"/>
      <c r="VUR192" s="17"/>
      <c r="VUS192" s="17"/>
      <c r="VUT192" s="17"/>
      <c r="VUU192" s="17"/>
      <c r="VUV192" s="17"/>
      <c r="VUW192" s="17"/>
      <c r="VUX192" s="17"/>
      <c r="VUY192" s="17"/>
      <c r="VUZ192" s="17"/>
      <c r="VVA192" s="17"/>
      <c r="VVB192" s="17"/>
      <c r="VVC192" s="17"/>
      <c r="VVD192" s="17"/>
      <c r="VVE192" s="17"/>
      <c r="VVF192" s="17"/>
      <c r="VVG192" s="17"/>
      <c r="VVH192" s="17"/>
      <c r="VVI192" s="17"/>
      <c r="VVJ192" s="17"/>
      <c r="VVK192" s="17"/>
      <c r="VVL192" s="17"/>
      <c r="VVM192" s="17"/>
      <c r="VVN192" s="17"/>
      <c r="VVO192" s="17"/>
      <c r="VVP192" s="17"/>
      <c r="VVQ192" s="17"/>
      <c r="VVR192" s="17"/>
      <c r="VVS192" s="17"/>
      <c r="VVT192" s="17"/>
      <c r="VVU192" s="17"/>
      <c r="VVV192" s="17"/>
      <c r="VVW192" s="17"/>
      <c r="VVX192" s="17"/>
      <c r="VVY192" s="17"/>
      <c r="VVZ192" s="17"/>
      <c r="VWA192" s="17"/>
      <c r="VWB192" s="17"/>
      <c r="VWC192" s="17"/>
      <c r="VWD192" s="17"/>
      <c r="VWE192" s="17"/>
      <c r="VWF192" s="17"/>
      <c r="VWG192" s="17"/>
      <c r="VWH192" s="17"/>
      <c r="VWI192" s="17"/>
      <c r="VWJ192" s="17"/>
      <c r="VWK192" s="17"/>
      <c r="VWL192" s="17"/>
      <c r="VWM192" s="17"/>
      <c r="VWN192" s="17"/>
      <c r="VWO192" s="17"/>
      <c r="VWP192" s="17"/>
      <c r="VWQ192" s="17"/>
      <c r="VWR192" s="17"/>
      <c r="VWS192" s="17"/>
      <c r="VWT192" s="17"/>
      <c r="VWU192" s="17"/>
      <c r="VWV192" s="17"/>
      <c r="VWW192" s="17"/>
      <c r="VWX192" s="17"/>
      <c r="VWY192" s="17"/>
      <c r="VWZ192" s="17"/>
      <c r="VXA192" s="17"/>
      <c r="VXB192" s="17"/>
      <c r="VXC192" s="17"/>
      <c r="VXD192" s="17"/>
      <c r="VXE192" s="17"/>
      <c r="VXF192" s="17"/>
      <c r="VXG192" s="17"/>
      <c r="VXH192" s="17"/>
      <c r="VXI192" s="17"/>
      <c r="VXJ192" s="17"/>
      <c r="VXK192" s="17"/>
      <c r="VXL192" s="17"/>
      <c r="VXM192" s="17"/>
      <c r="VXN192" s="17"/>
      <c r="VXO192" s="17"/>
      <c r="VXP192" s="17"/>
      <c r="VXQ192" s="17"/>
      <c r="VXR192" s="17"/>
      <c r="VXS192" s="17"/>
      <c r="VXT192" s="17"/>
      <c r="VXU192" s="17"/>
      <c r="VXV192" s="17"/>
      <c r="VXW192" s="17"/>
      <c r="VXX192" s="17"/>
      <c r="VXY192" s="17"/>
      <c r="VXZ192" s="17"/>
      <c r="VYA192" s="17"/>
      <c r="VYB192" s="17"/>
      <c r="VYC192" s="17"/>
      <c r="VYD192" s="17"/>
      <c r="VYE192" s="17"/>
      <c r="VYF192" s="17"/>
      <c r="VYG192" s="17"/>
      <c r="VYH192" s="17"/>
      <c r="VYI192" s="17"/>
      <c r="VYJ192" s="17"/>
      <c r="VYK192" s="17"/>
      <c r="VYL192" s="17"/>
      <c r="VYM192" s="17"/>
      <c r="VYN192" s="17"/>
      <c r="VYO192" s="17"/>
      <c r="VYP192" s="17"/>
      <c r="VYQ192" s="17"/>
      <c r="VYR192" s="17"/>
      <c r="VYS192" s="17"/>
      <c r="VYT192" s="17"/>
      <c r="VYU192" s="17"/>
      <c r="VYV192" s="17"/>
      <c r="VYW192" s="17"/>
      <c r="VYX192" s="17"/>
      <c r="VYY192" s="17"/>
      <c r="VYZ192" s="17"/>
      <c r="VZA192" s="17"/>
      <c r="VZB192" s="17"/>
      <c r="VZC192" s="17"/>
      <c r="VZD192" s="17"/>
      <c r="VZE192" s="17"/>
      <c r="VZF192" s="17"/>
      <c r="VZG192" s="17"/>
      <c r="VZH192" s="17"/>
      <c r="VZI192" s="17"/>
      <c r="VZJ192" s="17"/>
      <c r="VZK192" s="17"/>
      <c r="VZL192" s="17"/>
      <c r="VZM192" s="17"/>
      <c r="VZN192" s="17"/>
      <c r="VZO192" s="17"/>
      <c r="VZP192" s="17"/>
      <c r="VZQ192" s="17"/>
      <c r="VZR192" s="17"/>
      <c r="VZS192" s="17"/>
      <c r="VZT192" s="17"/>
      <c r="VZU192" s="17"/>
      <c r="VZV192" s="17"/>
      <c r="VZW192" s="17"/>
      <c r="VZX192" s="17"/>
      <c r="VZY192" s="17"/>
      <c r="VZZ192" s="17"/>
      <c r="WAA192" s="17"/>
      <c r="WAB192" s="17"/>
      <c r="WAC192" s="17"/>
      <c r="WAD192" s="17"/>
      <c r="WAE192" s="17"/>
      <c r="WAF192" s="17"/>
      <c r="WAG192" s="17"/>
      <c r="WAH192" s="17"/>
      <c r="WAI192" s="17"/>
      <c r="WAJ192" s="17"/>
      <c r="WAK192" s="17"/>
      <c r="WAL192" s="17"/>
      <c r="WAM192" s="17"/>
      <c r="WAN192" s="17"/>
      <c r="WAO192" s="17"/>
      <c r="WAP192" s="17"/>
      <c r="WAQ192" s="17"/>
      <c r="WAR192" s="17"/>
      <c r="WAS192" s="17"/>
      <c r="WAT192" s="17"/>
      <c r="WAU192" s="17"/>
      <c r="WAV192" s="17"/>
      <c r="WAW192" s="17"/>
      <c r="WAX192" s="17"/>
      <c r="WAY192" s="17"/>
      <c r="WAZ192" s="17"/>
      <c r="WBA192" s="17"/>
      <c r="WBB192" s="17"/>
      <c r="WBC192" s="17"/>
      <c r="WBD192" s="17"/>
      <c r="WBE192" s="17"/>
      <c r="WBF192" s="17"/>
      <c r="WBG192" s="17"/>
      <c r="WBH192" s="17"/>
      <c r="WBI192" s="17"/>
      <c r="WBJ192" s="17"/>
      <c r="WBK192" s="17"/>
      <c r="WBL192" s="17"/>
      <c r="WBM192" s="17"/>
      <c r="WBN192" s="17"/>
      <c r="WBO192" s="17"/>
      <c r="WBP192" s="17"/>
      <c r="WBQ192" s="17"/>
      <c r="WBR192" s="17"/>
      <c r="WBS192" s="17"/>
      <c r="WBT192" s="17"/>
      <c r="WBU192" s="17"/>
      <c r="WBV192" s="17"/>
      <c r="WBW192" s="17"/>
      <c r="WBX192" s="17"/>
      <c r="WBY192" s="17"/>
      <c r="WBZ192" s="17"/>
      <c r="WCA192" s="17"/>
      <c r="WCB192" s="17"/>
      <c r="WCC192" s="17"/>
      <c r="WCD192" s="17"/>
      <c r="WCE192" s="17"/>
      <c r="WCF192" s="17"/>
      <c r="WCG192" s="17"/>
      <c r="WCH192" s="17"/>
      <c r="WCI192" s="17"/>
      <c r="WCJ192" s="17"/>
      <c r="WCK192" s="17"/>
      <c r="WCL192" s="17"/>
      <c r="WCM192" s="17"/>
      <c r="WCN192" s="17"/>
      <c r="WCO192" s="17"/>
      <c r="WCP192" s="17"/>
      <c r="WCQ192" s="17"/>
      <c r="WCR192" s="17"/>
      <c r="WCS192" s="17"/>
      <c r="WCT192" s="17"/>
      <c r="WCU192" s="17"/>
      <c r="WCV192" s="17"/>
      <c r="WCW192" s="17"/>
      <c r="WCX192" s="17"/>
      <c r="WCY192" s="17"/>
      <c r="WCZ192" s="17"/>
      <c r="WDA192" s="17"/>
      <c r="WDB192" s="17"/>
      <c r="WDC192" s="17"/>
      <c r="WDD192" s="17"/>
      <c r="WDE192" s="17"/>
      <c r="WDF192" s="17"/>
      <c r="WDG192" s="17"/>
      <c r="WDH192" s="17"/>
      <c r="WDI192" s="17"/>
      <c r="WDJ192" s="17"/>
      <c r="WDK192" s="17"/>
      <c r="WDL192" s="17"/>
      <c r="WDM192" s="17"/>
      <c r="WDN192" s="17"/>
      <c r="WDO192" s="17"/>
      <c r="WDP192" s="17"/>
      <c r="WDQ192" s="17"/>
      <c r="WDR192" s="17"/>
      <c r="WDS192" s="17"/>
      <c r="WDT192" s="17"/>
      <c r="WDU192" s="17"/>
      <c r="WDV192" s="17"/>
      <c r="WDW192" s="17"/>
      <c r="WDX192" s="17"/>
      <c r="WDY192" s="17"/>
      <c r="WDZ192" s="17"/>
      <c r="WEA192" s="17"/>
      <c r="WEB192" s="17"/>
      <c r="WEC192" s="17"/>
      <c r="WED192" s="17"/>
      <c r="WEE192" s="17"/>
      <c r="WEF192" s="17"/>
      <c r="WEG192" s="17"/>
      <c r="WEH192" s="17"/>
      <c r="WEI192" s="17"/>
      <c r="WEJ192" s="17"/>
      <c r="WEK192" s="17"/>
      <c r="WEL192" s="17"/>
      <c r="WEM192" s="17"/>
      <c r="WEN192" s="17"/>
      <c r="WEO192" s="17"/>
      <c r="WEP192" s="17"/>
      <c r="WEQ192" s="17"/>
      <c r="WER192" s="17"/>
      <c r="WES192" s="17"/>
      <c r="WET192" s="17"/>
      <c r="WEU192" s="17"/>
      <c r="WEV192" s="17"/>
      <c r="WEW192" s="17"/>
      <c r="WEX192" s="17"/>
      <c r="WEY192" s="17"/>
      <c r="WEZ192" s="17"/>
      <c r="WFA192" s="17"/>
      <c r="WFB192" s="17"/>
      <c r="WFC192" s="17"/>
      <c r="WFD192" s="17"/>
      <c r="WFE192" s="17"/>
      <c r="WFF192" s="17"/>
      <c r="WFG192" s="17"/>
      <c r="WFH192" s="17"/>
      <c r="WFI192" s="17"/>
      <c r="WFJ192" s="17"/>
      <c r="WFK192" s="17"/>
      <c r="WFL192" s="17"/>
      <c r="WFM192" s="17"/>
      <c r="WFN192" s="17"/>
      <c r="WFO192" s="17"/>
      <c r="WFP192" s="17"/>
      <c r="WFQ192" s="17"/>
      <c r="WFR192" s="17"/>
      <c r="WFS192" s="17"/>
      <c r="WFT192" s="17"/>
      <c r="WFU192" s="17"/>
      <c r="WFV192" s="17"/>
      <c r="WFW192" s="17"/>
      <c r="WFX192" s="17"/>
      <c r="WFY192" s="17"/>
      <c r="WFZ192" s="17"/>
      <c r="WGA192" s="17"/>
      <c r="WGB192" s="17"/>
      <c r="WGC192" s="17"/>
      <c r="WGD192" s="17"/>
      <c r="WGE192" s="17"/>
      <c r="WGF192" s="17"/>
      <c r="WGG192" s="17"/>
      <c r="WGH192" s="17"/>
      <c r="WGI192" s="17"/>
      <c r="WGJ192" s="17"/>
      <c r="WGK192" s="17"/>
      <c r="WGL192" s="17"/>
      <c r="WGM192" s="17"/>
      <c r="WGN192" s="17"/>
      <c r="WGO192" s="17"/>
      <c r="WGP192" s="17"/>
      <c r="WGQ192" s="17"/>
      <c r="WGR192" s="17"/>
      <c r="WGS192" s="17"/>
      <c r="WGT192" s="17"/>
      <c r="WGU192" s="17"/>
      <c r="WGV192" s="17"/>
      <c r="WGW192" s="17"/>
      <c r="WGX192" s="17"/>
      <c r="WGY192" s="17"/>
      <c r="WGZ192" s="17"/>
      <c r="WHA192" s="17"/>
      <c r="WHB192" s="17"/>
      <c r="WHC192" s="17"/>
      <c r="WHD192" s="17"/>
      <c r="WHE192" s="17"/>
      <c r="WHF192" s="17"/>
      <c r="WHG192" s="17"/>
      <c r="WHH192" s="17"/>
      <c r="WHI192" s="17"/>
      <c r="WHJ192" s="17"/>
      <c r="WHK192" s="17"/>
      <c r="WHL192" s="17"/>
      <c r="WHM192" s="17"/>
      <c r="WHN192" s="17"/>
      <c r="WHO192" s="17"/>
      <c r="WHP192" s="17"/>
      <c r="WHQ192" s="17"/>
      <c r="WHR192" s="17"/>
      <c r="WHS192" s="17"/>
      <c r="WHT192" s="17"/>
      <c r="WHU192" s="17"/>
      <c r="WHV192" s="17"/>
      <c r="WHW192" s="17"/>
      <c r="WHX192" s="17"/>
      <c r="WHY192" s="17"/>
      <c r="WHZ192" s="17"/>
      <c r="WIA192" s="17"/>
      <c r="WIB192" s="17"/>
      <c r="WIC192" s="17"/>
      <c r="WID192" s="17"/>
      <c r="WIE192" s="17"/>
      <c r="WIF192" s="17"/>
      <c r="WIG192" s="17"/>
      <c r="WIH192" s="17"/>
      <c r="WII192" s="17"/>
      <c r="WIJ192" s="17"/>
      <c r="WIK192" s="17"/>
      <c r="WIL192" s="17"/>
      <c r="WIM192" s="17"/>
      <c r="WIN192" s="17"/>
      <c r="WIO192" s="17"/>
      <c r="WIP192" s="17"/>
      <c r="WIQ192" s="17"/>
      <c r="WIR192" s="17"/>
      <c r="WIS192" s="17"/>
      <c r="WIT192" s="17"/>
      <c r="WIU192" s="17"/>
      <c r="WIV192" s="17"/>
      <c r="WIW192" s="17"/>
      <c r="WIX192" s="17"/>
      <c r="WIY192" s="17"/>
      <c r="WIZ192" s="17"/>
      <c r="WJA192" s="17"/>
      <c r="WJB192" s="17"/>
      <c r="WJC192" s="17"/>
      <c r="WJD192" s="17"/>
      <c r="WJE192" s="17"/>
      <c r="WJF192" s="17"/>
      <c r="WJG192" s="17"/>
      <c r="WJH192" s="17"/>
      <c r="WJI192" s="17"/>
      <c r="WJJ192" s="17"/>
      <c r="WJK192" s="17"/>
      <c r="WJL192" s="17"/>
      <c r="WJM192" s="17"/>
      <c r="WJN192" s="17"/>
      <c r="WJO192" s="17"/>
      <c r="WJP192" s="17"/>
      <c r="WJQ192" s="17"/>
      <c r="WJR192" s="17"/>
      <c r="WJS192" s="17"/>
      <c r="WJT192" s="17"/>
      <c r="WJU192" s="17"/>
      <c r="WJV192" s="17"/>
      <c r="WJW192" s="17"/>
      <c r="WJX192" s="17"/>
      <c r="WJY192" s="17"/>
      <c r="WJZ192" s="17"/>
      <c r="WKA192" s="17"/>
      <c r="WKB192" s="17"/>
      <c r="WKC192" s="17"/>
      <c r="WKD192" s="17"/>
      <c r="WKE192" s="17"/>
      <c r="WKF192" s="17"/>
      <c r="WKG192" s="17"/>
      <c r="WKH192" s="17"/>
      <c r="WKI192" s="17"/>
      <c r="WKJ192" s="17"/>
      <c r="WKK192" s="17"/>
      <c r="WKL192" s="17"/>
      <c r="WKM192" s="17"/>
      <c r="WKN192" s="17"/>
      <c r="WKO192" s="17"/>
      <c r="WKP192" s="17"/>
      <c r="WKQ192" s="17"/>
      <c r="WKR192" s="17"/>
      <c r="WKS192" s="17"/>
      <c r="WKT192" s="17"/>
      <c r="WKU192" s="17"/>
      <c r="WKV192" s="17"/>
      <c r="WKW192" s="17"/>
      <c r="WKX192" s="17"/>
      <c r="WKY192" s="17"/>
      <c r="WKZ192" s="17"/>
      <c r="WLA192" s="17"/>
      <c r="WLB192" s="17"/>
      <c r="WLC192" s="17"/>
      <c r="WLD192" s="17"/>
      <c r="WLE192" s="17"/>
      <c r="WLF192" s="17"/>
      <c r="WLG192" s="17"/>
      <c r="WLH192" s="17"/>
      <c r="WLI192" s="17"/>
      <c r="WLJ192" s="17"/>
      <c r="WLK192" s="17"/>
      <c r="WLL192" s="17"/>
      <c r="WLM192" s="17"/>
      <c r="WLN192" s="17"/>
      <c r="WLO192" s="17"/>
      <c r="WLP192" s="17"/>
      <c r="WLQ192" s="17"/>
      <c r="WLR192" s="17"/>
      <c r="WLS192" s="17"/>
      <c r="WLT192" s="17"/>
      <c r="WLU192" s="17"/>
      <c r="WLV192" s="17"/>
      <c r="WLW192" s="17"/>
      <c r="WLX192" s="17"/>
      <c r="WLY192" s="17"/>
      <c r="WLZ192" s="17"/>
      <c r="WMA192" s="17"/>
      <c r="WMB192" s="17"/>
      <c r="WMC192" s="17"/>
      <c r="WMD192" s="17"/>
      <c r="WME192" s="17"/>
      <c r="WMF192" s="17"/>
      <c r="WMG192" s="17"/>
      <c r="WMH192" s="17"/>
      <c r="WMI192" s="17"/>
      <c r="WMJ192" s="17"/>
      <c r="WMK192" s="17"/>
      <c r="WML192" s="17"/>
      <c r="WMM192" s="17"/>
      <c r="WMN192" s="17"/>
      <c r="WMO192" s="17"/>
      <c r="WMP192" s="17"/>
      <c r="WMQ192" s="17"/>
      <c r="WMR192" s="17"/>
      <c r="WMS192" s="17"/>
      <c r="WMT192" s="17"/>
      <c r="WMU192" s="17"/>
      <c r="WMV192" s="17"/>
      <c r="WMW192" s="17"/>
      <c r="WMX192" s="17"/>
      <c r="WMY192" s="17"/>
      <c r="WMZ192" s="17"/>
      <c r="WNA192" s="17"/>
      <c r="WNB192" s="17"/>
      <c r="WNC192" s="17"/>
      <c r="WND192" s="17"/>
      <c r="WNE192" s="17"/>
      <c r="WNF192" s="17"/>
      <c r="WNG192" s="17"/>
      <c r="WNH192" s="17"/>
      <c r="WNI192" s="17"/>
      <c r="WNJ192" s="17"/>
      <c r="WNK192" s="17"/>
      <c r="WNL192" s="17"/>
      <c r="WNM192" s="17"/>
      <c r="WNN192" s="17"/>
      <c r="WNO192" s="17"/>
      <c r="WNP192" s="17"/>
      <c r="WNQ192" s="17"/>
      <c r="WNR192" s="17"/>
      <c r="WNS192" s="17"/>
      <c r="WNT192" s="17"/>
      <c r="WNU192" s="17"/>
      <c r="WNV192" s="17"/>
      <c r="WNW192" s="17"/>
      <c r="WNX192" s="17"/>
      <c r="WNY192" s="17"/>
      <c r="WNZ192" s="17"/>
      <c r="WOA192" s="17"/>
      <c r="WOB192" s="17"/>
      <c r="WOC192" s="17"/>
      <c r="WOD192" s="17"/>
      <c r="WOE192" s="17"/>
      <c r="WOF192" s="17"/>
      <c r="WOG192" s="17"/>
      <c r="WOH192" s="17"/>
      <c r="WOI192" s="17"/>
      <c r="WOJ192" s="17"/>
      <c r="WOK192" s="17"/>
      <c r="WOL192" s="17"/>
      <c r="WOM192" s="17"/>
      <c r="WON192" s="17"/>
      <c r="WOO192" s="17"/>
      <c r="WOP192" s="17"/>
      <c r="WOQ192" s="17"/>
      <c r="WOR192" s="17"/>
      <c r="WOS192" s="17"/>
      <c r="WOT192" s="17"/>
      <c r="WOU192" s="17"/>
      <c r="WOV192" s="17"/>
      <c r="WOW192" s="17"/>
      <c r="WOX192" s="17"/>
      <c r="WOY192" s="17"/>
      <c r="WOZ192" s="17"/>
      <c r="WPA192" s="17"/>
      <c r="WPB192" s="17"/>
      <c r="WPC192" s="17"/>
      <c r="WPD192" s="17"/>
      <c r="WPE192" s="17"/>
      <c r="WPF192" s="17"/>
      <c r="WPG192" s="17"/>
      <c r="WPH192" s="17"/>
      <c r="WPI192" s="17"/>
      <c r="WPJ192" s="17"/>
      <c r="WPK192" s="17"/>
      <c r="WPL192" s="17"/>
      <c r="WPM192" s="17"/>
      <c r="WPN192" s="17"/>
      <c r="WPO192" s="17"/>
      <c r="WPP192" s="17"/>
      <c r="WPQ192" s="17"/>
      <c r="WPR192" s="17"/>
      <c r="WPS192" s="17"/>
      <c r="WPT192" s="17"/>
      <c r="WPU192" s="17"/>
      <c r="WPV192" s="17"/>
      <c r="WPW192" s="17"/>
      <c r="WPX192" s="17"/>
      <c r="WPY192" s="17"/>
      <c r="WPZ192" s="17"/>
      <c r="WQA192" s="17"/>
      <c r="WQB192" s="17"/>
      <c r="WQC192" s="17"/>
      <c r="WQD192" s="17"/>
      <c r="WQE192" s="17"/>
      <c r="WQF192" s="17"/>
      <c r="WQG192" s="17"/>
      <c r="WQH192" s="17"/>
      <c r="WQI192" s="17"/>
      <c r="WQJ192" s="17"/>
      <c r="WQK192" s="17"/>
      <c r="WQL192" s="17"/>
      <c r="WQM192" s="17"/>
      <c r="WQN192" s="17"/>
      <c r="WQO192" s="17"/>
      <c r="WQP192" s="17"/>
      <c r="WQQ192" s="17"/>
      <c r="WQR192" s="17"/>
      <c r="WQS192" s="17"/>
      <c r="WQT192" s="17"/>
      <c r="WQU192" s="17"/>
      <c r="WQV192" s="17"/>
      <c r="WQW192" s="17"/>
      <c r="WQX192" s="17"/>
      <c r="WQY192" s="17"/>
      <c r="WQZ192" s="17"/>
      <c r="WRA192" s="17"/>
      <c r="WRB192" s="17"/>
      <c r="WRC192" s="17"/>
      <c r="WRD192" s="17"/>
      <c r="WRE192" s="17"/>
      <c r="WRF192" s="17"/>
      <c r="WRG192" s="17"/>
      <c r="WRH192" s="17"/>
      <c r="WRI192" s="17"/>
      <c r="WRJ192" s="17"/>
      <c r="WRK192" s="17"/>
      <c r="WRL192" s="17"/>
      <c r="WRM192" s="17"/>
      <c r="WRN192" s="17"/>
      <c r="WRO192" s="17"/>
      <c r="WRP192" s="17"/>
      <c r="WRQ192" s="17"/>
      <c r="WRR192" s="17"/>
      <c r="WRS192" s="17"/>
      <c r="WRT192" s="17"/>
      <c r="WRU192" s="17"/>
      <c r="WRV192" s="17"/>
      <c r="WRW192" s="17"/>
      <c r="WRX192" s="17"/>
      <c r="WRY192" s="17"/>
      <c r="WRZ192" s="17"/>
      <c r="WSA192" s="17"/>
      <c r="WSB192" s="17"/>
      <c r="WSC192" s="17"/>
      <c r="WSD192" s="17"/>
      <c r="WSE192" s="17"/>
      <c r="WSF192" s="17"/>
      <c r="WSG192" s="17"/>
      <c r="WSH192" s="17"/>
      <c r="WSI192" s="17"/>
      <c r="WSJ192" s="17"/>
      <c r="WSK192" s="17"/>
      <c r="WSL192" s="17"/>
      <c r="WSM192" s="17"/>
      <c r="WSN192" s="17"/>
      <c r="WSO192" s="17"/>
      <c r="WSP192" s="17"/>
      <c r="WSQ192" s="17"/>
      <c r="WSR192" s="17"/>
      <c r="WSS192" s="17"/>
      <c r="WST192" s="17"/>
      <c r="WSU192" s="17"/>
      <c r="WSV192" s="17"/>
      <c r="WSW192" s="17"/>
      <c r="WSX192" s="17"/>
      <c r="WSY192" s="17"/>
      <c r="WSZ192" s="17"/>
      <c r="WTA192" s="17"/>
      <c r="WTB192" s="17"/>
      <c r="WTC192" s="17"/>
      <c r="WTD192" s="17"/>
      <c r="WTE192" s="17"/>
      <c r="WTF192" s="17"/>
      <c r="WTG192" s="17"/>
      <c r="WTH192" s="17"/>
      <c r="WTI192" s="17"/>
      <c r="WTJ192" s="17"/>
      <c r="WTK192" s="17"/>
      <c r="WTL192" s="17"/>
      <c r="WTM192" s="17"/>
      <c r="WTN192" s="17"/>
      <c r="WTO192" s="17"/>
      <c r="WTP192" s="17"/>
      <c r="WTQ192" s="17"/>
      <c r="WTR192" s="17"/>
      <c r="WTS192" s="17"/>
      <c r="WTT192" s="17"/>
      <c r="WTU192" s="17"/>
      <c r="WTV192" s="17"/>
      <c r="WTW192" s="17"/>
      <c r="WTX192" s="17"/>
      <c r="WTY192" s="17"/>
      <c r="WTZ192" s="17"/>
      <c r="WUA192" s="17"/>
      <c r="WUB192" s="17"/>
      <c r="WUC192" s="17"/>
      <c r="WUD192" s="17"/>
      <c r="WUE192" s="17"/>
      <c r="WUF192" s="17"/>
      <c r="WUG192" s="17"/>
      <c r="WUH192" s="17"/>
      <c r="WUI192" s="17"/>
      <c r="WUJ192" s="17"/>
      <c r="WUK192" s="17"/>
      <c r="WUL192" s="17"/>
      <c r="WUM192" s="17"/>
      <c r="WUN192" s="17"/>
      <c r="WUO192" s="17"/>
      <c r="WUP192" s="17"/>
      <c r="WUQ192" s="17"/>
      <c r="WUR192" s="17"/>
      <c r="WUS192" s="17"/>
      <c r="WUT192" s="17"/>
      <c r="WUU192" s="17"/>
      <c r="WUV192" s="17"/>
      <c r="WUW192" s="17"/>
      <c r="WUX192" s="17"/>
      <c r="WUY192" s="17"/>
      <c r="WUZ192" s="17"/>
      <c r="WVA192" s="17"/>
      <c r="WVB192" s="17"/>
      <c r="WVC192" s="17"/>
      <c r="WVD192" s="17"/>
      <c r="WVE192" s="17"/>
      <c r="WVF192" s="17"/>
      <c r="WVG192" s="17"/>
      <c r="WVH192" s="17"/>
      <c r="WVI192" s="17"/>
      <c r="WVJ192" s="17"/>
      <c r="WVK192" s="17"/>
      <c r="WVL192" s="17"/>
      <c r="WVM192" s="17"/>
      <c r="WVN192" s="17"/>
      <c r="WVO192" s="17"/>
      <c r="WVP192" s="17"/>
      <c r="WVQ192" s="17"/>
      <c r="WVR192" s="17"/>
      <c r="WVS192" s="17"/>
      <c r="WVT192" s="17"/>
      <c r="WVU192" s="17"/>
      <c r="WVV192" s="17"/>
      <c r="WVW192" s="17"/>
      <c r="WVX192" s="17"/>
      <c r="WVY192" s="17"/>
      <c r="WVZ192" s="17"/>
      <c r="WWA192" s="17"/>
      <c r="WWB192" s="17"/>
      <c r="WWC192" s="17"/>
      <c r="WWD192" s="17"/>
      <c r="WWE192" s="17"/>
      <c r="WWF192" s="17"/>
      <c r="WWG192" s="17"/>
      <c r="WWH192" s="17"/>
      <c r="WWI192" s="17"/>
      <c r="WWJ192" s="17"/>
      <c r="WWK192" s="17"/>
      <c r="WWL192" s="17"/>
      <c r="WWM192" s="17"/>
      <c r="WWN192" s="17"/>
      <c r="WWO192" s="17"/>
      <c r="WWP192" s="17"/>
      <c r="WWQ192" s="17"/>
      <c r="WWR192" s="17"/>
      <c r="WWS192" s="17"/>
      <c r="WWT192" s="17"/>
      <c r="WWU192" s="17"/>
      <c r="WWV192" s="17"/>
      <c r="WWW192" s="17"/>
      <c r="WWX192" s="17"/>
      <c r="WWY192" s="17"/>
      <c r="WWZ192" s="17"/>
      <c r="WXA192" s="17"/>
      <c r="WXB192" s="17"/>
      <c r="WXC192" s="17"/>
      <c r="WXD192" s="17"/>
      <c r="WXE192" s="17"/>
      <c r="WXF192" s="17"/>
      <c r="WXG192" s="17"/>
      <c r="WXH192" s="17"/>
      <c r="WXI192" s="17"/>
      <c r="WXJ192" s="17"/>
      <c r="WXK192" s="17"/>
      <c r="WXL192" s="17"/>
      <c r="WXM192" s="17"/>
      <c r="WXN192" s="17"/>
      <c r="WXO192" s="17"/>
      <c r="WXP192" s="17"/>
      <c r="WXQ192" s="17"/>
      <c r="WXR192" s="17"/>
      <c r="WXS192" s="17"/>
      <c r="WXT192" s="17"/>
      <c r="WXU192" s="17"/>
      <c r="WXV192" s="17"/>
      <c r="WXW192" s="17"/>
      <c r="WXX192" s="17"/>
      <c r="WXY192" s="17"/>
      <c r="WXZ192" s="17"/>
      <c r="WYA192" s="17"/>
      <c r="WYB192" s="17"/>
      <c r="WYC192" s="17"/>
      <c r="WYD192" s="17"/>
      <c r="WYE192" s="17"/>
      <c r="WYF192" s="17"/>
      <c r="WYG192" s="17"/>
      <c r="WYH192" s="17"/>
      <c r="WYI192" s="17"/>
      <c r="WYJ192" s="17"/>
      <c r="WYK192" s="17"/>
      <c r="WYL192" s="17"/>
      <c r="WYM192" s="17"/>
      <c r="WYN192" s="17"/>
      <c r="WYO192" s="17"/>
      <c r="WYP192" s="17"/>
      <c r="WYQ192" s="17"/>
      <c r="WYR192" s="17"/>
      <c r="WYS192" s="17"/>
      <c r="WYT192" s="17"/>
      <c r="WYU192" s="17"/>
      <c r="WYV192" s="17"/>
      <c r="WYW192" s="17"/>
      <c r="WYX192" s="17"/>
      <c r="WYY192" s="17"/>
      <c r="WYZ192" s="17"/>
      <c r="WZA192" s="17"/>
      <c r="WZB192" s="17"/>
      <c r="WZC192" s="17"/>
      <c r="WZD192" s="17"/>
      <c r="WZE192" s="17"/>
      <c r="WZF192" s="17"/>
      <c r="WZG192" s="17"/>
      <c r="WZH192" s="17"/>
      <c r="WZI192" s="17"/>
      <c r="WZJ192" s="17"/>
      <c r="WZK192" s="17"/>
      <c r="WZL192" s="17"/>
      <c r="WZM192" s="17"/>
      <c r="WZN192" s="17"/>
      <c r="WZO192" s="17"/>
      <c r="WZP192" s="17"/>
      <c r="WZQ192" s="17"/>
      <c r="WZR192" s="17"/>
      <c r="WZS192" s="17"/>
      <c r="WZT192" s="17"/>
      <c r="WZU192" s="17"/>
      <c r="WZV192" s="17"/>
      <c r="WZW192" s="17"/>
      <c r="WZX192" s="17"/>
      <c r="WZY192" s="17"/>
      <c r="WZZ192" s="17"/>
      <c r="XAA192" s="17"/>
      <c r="XAB192" s="17"/>
      <c r="XAC192" s="17"/>
      <c r="XAD192" s="17"/>
      <c r="XAE192" s="17"/>
      <c r="XAF192" s="17"/>
      <c r="XAG192" s="17"/>
      <c r="XAH192" s="17"/>
      <c r="XAI192" s="17"/>
      <c r="XAJ192" s="17"/>
      <c r="XAK192" s="17"/>
      <c r="XAL192" s="17"/>
      <c r="XAM192" s="17"/>
      <c r="XAN192" s="17"/>
      <c r="XAO192" s="17"/>
      <c r="XAP192" s="17"/>
      <c r="XAQ192" s="17"/>
      <c r="XAR192" s="17"/>
      <c r="XAS192" s="17"/>
      <c r="XAT192" s="17"/>
      <c r="XAU192" s="17"/>
      <c r="XAV192" s="17"/>
      <c r="XAW192" s="17"/>
      <c r="XAX192" s="17"/>
      <c r="XAY192" s="17"/>
      <c r="XAZ192" s="17"/>
      <c r="XBA192" s="17"/>
      <c r="XBB192" s="17"/>
      <c r="XBC192" s="17"/>
      <c r="XBD192" s="17"/>
      <c r="XBE192" s="17"/>
      <c r="XBF192" s="17"/>
      <c r="XBG192" s="17"/>
      <c r="XBH192" s="17"/>
      <c r="XBI192" s="17"/>
      <c r="XBJ192" s="17"/>
      <c r="XBK192" s="17"/>
      <c r="XBL192" s="17"/>
      <c r="XBM192" s="17"/>
      <c r="XBN192" s="17"/>
      <c r="XBO192" s="17"/>
      <c r="XBP192" s="17"/>
      <c r="XBQ192" s="17"/>
      <c r="XBR192" s="17"/>
      <c r="XBS192" s="17"/>
      <c r="XBT192" s="17"/>
      <c r="XBU192" s="17"/>
      <c r="XBV192" s="17"/>
      <c r="XBW192" s="17"/>
      <c r="XBX192" s="17"/>
      <c r="XBY192" s="17"/>
      <c r="XBZ192" s="17"/>
      <c r="XCA192" s="17"/>
      <c r="XCB192" s="17"/>
      <c r="XCC192" s="17"/>
      <c r="XCD192" s="17"/>
      <c r="XCE192" s="17"/>
      <c r="XCF192" s="17"/>
      <c r="XCG192" s="17"/>
      <c r="XCH192" s="17"/>
      <c r="XCI192" s="17"/>
      <c r="XCJ192" s="17"/>
      <c r="XCK192" s="17"/>
      <c r="XCL192" s="17"/>
      <c r="XCM192" s="17"/>
      <c r="XCN192" s="17"/>
      <c r="XCO192" s="17"/>
      <c r="XCP192" s="17"/>
      <c r="XCQ192" s="17"/>
      <c r="XCR192" s="17"/>
      <c r="XCS192" s="17"/>
      <c r="XCT192" s="17"/>
      <c r="XCU192" s="17"/>
      <c r="XCV192" s="17"/>
      <c r="XCW192" s="17"/>
      <c r="XCX192" s="17"/>
      <c r="XCY192" s="17"/>
      <c r="XCZ192" s="17"/>
      <c r="XDA192" s="17"/>
      <c r="XDB192" s="17"/>
      <c r="XDC192" s="17"/>
      <c r="XDD192" s="17"/>
      <c r="XDE192" s="17"/>
      <c r="XDF192" s="17"/>
    </row>
    <row r="193" spans="1:21" s="20" customFormat="1" ht="14.25" customHeight="1" thickBot="1">
      <c r="A193" s="75">
        <v>211</v>
      </c>
      <c r="B193" s="9" t="s">
        <v>458</v>
      </c>
      <c r="C193" s="93" t="s">
        <v>485</v>
      </c>
      <c r="D193" s="250" t="s">
        <v>488</v>
      </c>
      <c r="E193" s="8">
        <v>12.9</v>
      </c>
      <c r="F193" s="8" t="s">
        <v>505</v>
      </c>
      <c r="G193" s="8" t="s">
        <v>480</v>
      </c>
      <c r="H193" s="8" t="s">
        <v>524</v>
      </c>
      <c r="I193" s="16" t="s">
        <v>524</v>
      </c>
      <c r="J193" s="49" t="s">
        <v>519</v>
      </c>
      <c r="K193" s="49"/>
      <c r="L193" s="49"/>
      <c r="M193" s="49"/>
      <c r="N193" s="49"/>
      <c r="O193" s="38"/>
      <c r="P193" s="38"/>
      <c r="Q193" s="38"/>
      <c r="R193" s="38"/>
      <c r="S193" s="39"/>
      <c r="T193" s="37"/>
      <c r="U193" s="27"/>
    </row>
    <row r="194" spans="1:21" s="20" customFormat="1" ht="14.25" customHeight="1" thickBot="1">
      <c r="A194" s="75">
        <v>211</v>
      </c>
      <c r="B194" s="9" t="s">
        <v>458</v>
      </c>
      <c r="C194" s="93" t="s">
        <v>486</v>
      </c>
      <c r="D194" s="216" t="s">
        <v>489</v>
      </c>
      <c r="E194" s="11">
        <v>7.9</v>
      </c>
      <c r="F194" s="8" t="s">
        <v>480</v>
      </c>
      <c r="G194" s="11" t="s">
        <v>480</v>
      </c>
      <c r="H194" s="11" t="s">
        <v>524</v>
      </c>
      <c r="I194" s="16" t="s">
        <v>524</v>
      </c>
      <c r="J194" s="49" t="s">
        <v>480</v>
      </c>
      <c r="K194" s="49"/>
      <c r="L194" s="49"/>
      <c r="M194" s="49"/>
      <c r="N194" s="49"/>
      <c r="O194" s="38"/>
      <c r="P194" s="38"/>
      <c r="Q194" s="38"/>
      <c r="R194" s="38"/>
      <c r="S194" s="39"/>
      <c r="T194" s="37"/>
      <c r="U194" s="27"/>
    </row>
    <row r="195" spans="1:21" s="20" customFormat="1" ht="14.25" customHeight="1" thickBot="1">
      <c r="A195" s="75">
        <v>211</v>
      </c>
      <c r="B195" s="9" t="s">
        <v>458</v>
      </c>
      <c r="C195" s="93" t="s">
        <v>490</v>
      </c>
      <c r="D195" s="216" t="s">
        <v>492</v>
      </c>
      <c r="E195" s="11">
        <v>17</v>
      </c>
      <c r="F195" s="11" t="s">
        <v>494</v>
      </c>
      <c r="G195" s="11" t="s">
        <v>478</v>
      </c>
      <c r="H195" s="11" t="s">
        <v>517</v>
      </c>
      <c r="I195" s="16" t="s">
        <v>524</v>
      </c>
      <c r="J195" s="49" t="s">
        <v>525</v>
      </c>
      <c r="K195" s="49"/>
      <c r="L195" s="49"/>
      <c r="M195" s="49"/>
      <c r="N195" s="49"/>
      <c r="O195" s="38"/>
      <c r="P195" s="38"/>
      <c r="Q195" s="38"/>
      <c r="R195" s="38"/>
      <c r="S195" s="39"/>
      <c r="T195" s="37"/>
      <c r="U195" s="27"/>
    </row>
    <row r="196" spans="1:21" s="20" customFormat="1" ht="14.25" customHeight="1" thickBot="1">
      <c r="A196" s="75">
        <v>211</v>
      </c>
      <c r="B196" s="9" t="s">
        <v>458</v>
      </c>
      <c r="C196" s="93" t="s">
        <v>491</v>
      </c>
      <c r="D196" s="251" t="s">
        <v>493</v>
      </c>
      <c r="E196" s="11">
        <v>18</v>
      </c>
      <c r="F196" s="11" t="s">
        <v>494</v>
      </c>
      <c r="G196" s="11" t="s">
        <v>478</v>
      </c>
      <c r="H196" s="11" t="s">
        <v>518</v>
      </c>
      <c r="I196" s="11">
        <v>2800</v>
      </c>
      <c r="J196" s="49" t="s">
        <v>525</v>
      </c>
      <c r="K196" s="49"/>
      <c r="L196" s="49"/>
      <c r="M196" s="49"/>
      <c r="N196" s="49"/>
      <c r="O196" s="38"/>
      <c r="P196" s="38"/>
      <c r="Q196" s="38"/>
      <c r="R196" s="38"/>
      <c r="S196" s="39"/>
      <c r="T196" s="37"/>
      <c r="U196" s="27"/>
    </row>
    <row r="197" spans="1:21" s="269" customFormat="1" ht="14.25" customHeight="1" thickBot="1">
      <c r="A197" s="263">
        <v>211</v>
      </c>
      <c r="B197" s="264" t="s">
        <v>458</v>
      </c>
      <c r="C197" s="265"/>
      <c r="D197" s="266" t="s">
        <v>936</v>
      </c>
      <c r="E197" s="267">
        <v>2322.6</v>
      </c>
      <c r="F197" s="267"/>
      <c r="G197" s="267"/>
      <c r="H197" s="267"/>
      <c r="I197" s="267"/>
      <c r="J197" s="59"/>
      <c r="K197" s="59"/>
      <c r="L197" s="59"/>
      <c r="M197" s="59"/>
      <c r="N197" s="59"/>
      <c r="O197" s="267"/>
      <c r="P197" s="267"/>
      <c r="Q197" s="267"/>
      <c r="R197" s="267"/>
      <c r="S197" s="268"/>
      <c r="U197" s="270"/>
    </row>
    <row r="198" spans="1:21" s="20" customFormat="1" ht="14.25" customHeight="1" thickBot="1">
      <c r="A198" s="75">
        <v>211</v>
      </c>
      <c r="B198" s="9" t="s">
        <v>495</v>
      </c>
      <c r="C198" s="93" t="s">
        <v>496</v>
      </c>
      <c r="D198" s="216" t="s">
        <v>499</v>
      </c>
      <c r="E198" s="11">
        <v>16.100000000000001</v>
      </c>
      <c r="F198" s="11" t="s">
        <v>494</v>
      </c>
      <c r="G198" s="11" t="s">
        <v>478</v>
      </c>
      <c r="H198" s="11" t="s">
        <v>518</v>
      </c>
      <c r="I198" s="11" t="s">
        <v>524</v>
      </c>
      <c r="J198" s="49" t="s">
        <v>525</v>
      </c>
      <c r="K198" s="49"/>
      <c r="L198" s="49"/>
      <c r="M198" s="49"/>
      <c r="N198" s="49"/>
      <c r="O198" s="38"/>
      <c r="P198" s="38"/>
      <c r="Q198" s="38"/>
      <c r="R198" s="38"/>
      <c r="S198" s="39"/>
      <c r="T198" s="37"/>
      <c r="U198" s="27"/>
    </row>
    <row r="199" spans="1:21" s="20" customFormat="1" ht="14.25" customHeight="1" thickBot="1">
      <c r="A199" s="75">
        <v>211</v>
      </c>
      <c r="B199" s="9" t="s">
        <v>495</v>
      </c>
      <c r="C199" s="93" t="s">
        <v>497</v>
      </c>
      <c r="D199" s="216" t="s">
        <v>500</v>
      </c>
      <c r="E199" s="11">
        <v>5.5</v>
      </c>
      <c r="F199" s="11" t="s">
        <v>501</v>
      </c>
      <c r="G199" s="11" t="s">
        <v>502</v>
      </c>
      <c r="H199" s="11" t="s">
        <v>518</v>
      </c>
      <c r="I199" s="11" t="s">
        <v>524</v>
      </c>
      <c r="J199" s="49" t="s">
        <v>520</v>
      </c>
      <c r="K199" s="49"/>
      <c r="L199" s="49"/>
      <c r="M199" s="49"/>
      <c r="N199" s="49"/>
      <c r="O199" s="38"/>
      <c r="P199" s="38"/>
      <c r="Q199" s="38"/>
      <c r="R199" s="38"/>
      <c r="S199" s="39"/>
      <c r="T199" s="37"/>
      <c r="U199" s="27"/>
    </row>
    <row r="200" spans="1:21" s="20" customFormat="1" ht="14.25" customHeight="1" thickBot="1">
      <c r="A200" s="75">
        <v>211</v>
      </c>
      <c r="B200" s="9" t="s">
        <v>495</v>
      </c>
      <c r="C200" s="93" t="s">
        <v>498</v>
      </c>
      <c r="D200" s="216" t="s">
        <v>503</v>
      </c>
      <c r="E200" s="79">
        <v>69.099999999999994</v>
      </c>
      <c r="F200" s="11" t="s">
        <v>501</v>
      </c>
      <c r="G200" s="11" t="s">
        <v>478</v>
      </c>
      <c r="H200" s="11" t="s">
        <v>518</v>
      </c>
      <c r="I200" s="11" t="s">
        <v>524</v>
      </c>
      <c r="J200" s="49" t="s">
        <v>520</v>
      </c>
      <c r="K200" s="49"/>
      <c r="L200" s="49"/>
      <c r="M200" s="49"/>
      <c r="N200" s="49"/>
      <c r="O200" s="38"/>
      <c r="P200" s="38"/>
      <c r="Q200" s="38"/>
      <c r="R200" s="38"/>
      <c r="S200" s="39"/>
      <c r="T200" s="37"/>
      <c r="U200" s="27"/>
    </row>
    <row r="201" spans="1:21" s="20" customFormat="1" ht="14.25" customHeight="1" thickBot="1">
      <c r="A201" s="75">
        <v>211</v>
      </c>
      <c r="B201" s="9" t="s">
        <v>495</v>
      </c>
      <c r="C201" s="81">
        <v>605</v>
      </c>
      <c r="D201" s="216" t="s">
        <v>488</v>
      </c>
      <c r="E201" s="11">
        <v>17.7</v>
      </c>
      <c r="F201" s="11" t="s">
        <v>480</v>
      </c>
      <c r="G201" s="11" t="s">
        <v>519</v>
      </c>
      <c r="H201" s="11" t="s">
        <v>533</v>
      </c>
      <c r="I201" s="11" t="s">
        <v>524</v>
      </c>
      <c r="J201" s="49" t="s">
        <v>536</v>
      </c>
      <c r="K201" s="49"/>
      <c r="L201" s="49"/>
      <c r="M201" s="49"/>
      <c r="N201" s="49"/>
      <c r="O201" s="38"/>
      <c r="P201" s="38"/>
      <c r="Q201" s="38"/>
      <c r="R201" s="38"/>
      <c r="S201" s="39"/>
      <c r="T201" s="37"/>
      <c r="U201" s="27"/>
    </row>
    <row r="202" spans="1:21" s="20" customFormat="1" ht="12.75" customHeight="1" thickBot="1">
      <c r="A202" s="75">
        <v>211</v>
      </c>
      <c r="B202" s="9" t="s">
        <v>495</v>
      </c>
      <c r="C202" s="96">
        <v>606</v>
      </c>
      <c r="D202" s="252" t="s">
        <v>504</v>
      </c>
      <c r="E202" s="38">
        <v>83.3</v>
      </c>
      <c r="F202" s="38" t="s">
        <v>501</v>
      </c>
      <c r="G202" s="38" t="s">
        <v>506</v>
      </c>
      <c r="H202" s="11" t="s">
        <v>518</v>
      </c>
      <c r="I202" s="11" t="s">
        <v>524</v>
      </c>
      <c r="J202" s="49" t="s">
        <v>520</v>
      </c>
      <c r="K202" s="49"/>
      <c r="L202" s="49"/>
      <c r="M202" s="49"/>
      <c r="N202" s="49"/>
      <c r="O202" s="38"/>
      <c r="P202" s="38"/>
      <c r="Q202" s="38"/>
      <c r="R202" s="38"/>
      <c r="S202" s="39"/>
      <c r="T202" s="37"/>
      <c r="U202" s="27"/>
    </row>
    <row r="203" spans="1:21" s="20" customFormat="1" ht="14.25" customHeight="1" thickBot="1">
      <c r="A203" s="75">
        <v>211</v>
      </c>
      <c r="B203" s="9" t="s">
        <v>495</v>
      </c>
      <c r="C203" s="81">
        <v>608</v>
      </c>
      <c r="D203" s="216" t="s">
        <v>507</v>
      </c>
      <c r="E203" s="11">
        <v>18.3</v>
      </c>
      <c r="F203" s="11" t="s">
        <v>508</v>
      </c>
      <c r="G203" s="11" t="s">
        <v>509</v>
      </c>
      <c r="H203" s="11" t="s">
        <v>518</v>
      </c>
      <c r="I203" s="11" t="s">
        <v>524</v>
      </c>
      <c r="J203" s="49" t="s">
        <v>520</v>
      </c>
      <c r="K203" s="49"/>
      <c r="L203" s="49"/>
      <c r="M203" s="49"/>
      <c r="N203" s="49"/>
      <c r="O203" s="38"/>
      <c r="P203" s="38"/>
      <c r="Q203" s="38"/>
      <c r="R203" s="38"/>
      <c r="S203" s="39"/>
      <c r="T203" s="37"/>
      <c r="U203" s="27"/>
    </row>
    <row r="204" spans="1:21" s="20" customFormat="1" ht="14.25" customHeight="1" thickBot="1">
      <c r="A204" s="75">
        <v>211</v>
      </c>
      <c r="B204" s="9" t="s">
        <v>495</v>
      </c>
      <c r="C204" s="81">
        <v>609</v>
      </c>
      <c r="D204" s="216" t="s">
        <v>510</v>
      </c>
      <c r="E204" s="11">
        <v>123.8</v>
      </c>
      <c r="F204" s="38" t="s">
        <v>501</v>
      </c>
      <c r="G204" s="11" t="s">
        <v>509</v>
      </c>
      <c r="H204" s="11" t="s">
        <v>518</v>
      </c>
      <c r="I204" s="11" t="s">
        <v>524</v>
      </c>
      <c r="J204" s="49" t="s">
        <v>520</v>
      </c>
      <c r="K204" s="49"/>
      <c r="L204" s="49"/>
      <c r="M204" s="49"/>
      <c r="N204" s="49"/>
      <c r="O204" s="38"/>
      <c r="P204" s="38"/>
      <c r="Q204" s="38"/>
      <c r="R204" s="38"/>
      <c r="S204" s="39"/>
      <c r="T204" s="37"/>
      <c r="U204" s="27"/>
    </row>
    <row r="205" spans="1:21" s="20" customFormat="1" ht="14.25" customHeight="1" thickBot="1">
      <c r="A205" s="75">
        <v>211</v>
      </c>
      <c r="B205" s="9" t="s">
        <v>495</v>
      </c>
      <c r="C205" s="81">
        <v>610</v>
      </c>
      <c r="D205" s="216" t="s">
        <v>511</v>
      </c>
      <c r="E205" s="11">
        <v>10.1</v>
      </c>
      <c r="F205" s="11" t="s">
        <v>480</v>
      </c>
      <c r="G205" s="11" t="s">
        <v>480</v>
      </c>
      <c r="H205" s="11" t="s">
        <v>480</v>
      </c>
      <c r="I205" s="11" t="s">
        <v>524</v>
      </c>
      <c r="J205" s="49" t="s">
        <v>480</v>
      </c>
      <c r="K205" s="49"/>
      <c r="L205" s="49"/>
      <c r="M205" s="49"/>
      <c r="N205" s="49"/>
      <c r="O205" s="38"/>
      <c r="P205" s="38"/>
      <c r="Q205" s="38"/>
      <c r="R205" s="38"/>
      <c r="S205" s="39"/>
      <c r="T205" s="37"/>
      <c r="U205" s="27"/>
    </row>
    <row r="206" spans="1:21" s="20" customFormat="1" ht="14.25" customHeight="1" thickBot="1">
      <c r="A206" s="75">
        <v>211</v>
      </c>
      <c r="B206" s="9" t="s">
        <v>495</v>
      </c>
      <c r="C206" s="81">
        <v>611</v>
      </c>
      <c r="D206" s="216" t="s">
        <v>512</v>
      </c>
      <c r="E206" s="11">
        <v>17.600000000000001</v>
      </c>
      <c r="F206" s="11" t="s">
        <v>508</v>
      </c>
      <c r="G206" s="11" t="s">
        <v>509</v>
      </c>
      <c r="H206" s="11" t="s">
        <v>518</v>
      </c>
      <c r="I206" s="11" t="s">
        <v>524</v>
      </c>
      <c r="J206" s="49" t="s">
        <v>520</v>
      </c>
      <c r="K206" s="49"/>
      <c r="L206" s="49"/>
      <c r="M206" s="49"/>
      <c r="N206" s="49"/>
      <c r="O206" s="38"/>
      <c r="P206" s="38"/>
      <c r="Q206" s="38"/>
      <c r="R206" s="38"/>
      <c r="S206" s="39"/>
      <c r="T206" s="37"/>
      <c r="U206" s="27"/>
    </row>
    <row r="207" spans="1:21" s="20" customFormat="1" ht="14.25" customHeight="1" thickBot="1">
      <c r="A207" s="75">
        <v>211</v>
      </c>
      <c r="B207" s="9" t="s">
        <v>495</v>
      </c>
      <c r="C207" s="81">
        <v>612</v>
      </c>
      <c r="D207" s="216" t="s">
        <v>500</v>
      </c>
      <c r="E207" s="11">
        <v>5.5</v>
      </c>
      <c r="F207" s="11" t="s">
        <v>508</v>
      </c>
      <c r="G207" s="11" t="s">
        <v>514</v>
      </c>
      <c r="H207" s="11" t="s">
        <v>518</v>
      </c>
      <c r="I207" s="11" t="s">
        <v>524</v>
      </c>
      <c r="J207" s="49" t="s">
        <v>520</v>
      </c>
      <c r="K207" s="49"/>
      <c r="L207" s="49"/>
      <c r="M207" s="49"/>
      <c r="N207" s="49"/>
      <c r="O207" s="38"/>
      <c r="P207" s="38"/>
      <c r="Q207" s="38"/>
      <c r="R207" s="38"/>
      <c r="S207" s="39"/>
      <c r="T207" s="37"/>
      <c r="U207" s="27"/>
    </row>
    <row r="208" spans="1:21" s="20" customFormat="1" ht="14.25" customHeight="1" thickBot="1">
      <c r="A208" s="75">
        <v>211</v>
      </c>
      <c r="B208" s="9" t="s">
        <v>495</v>
      </c>
      <c r="C208" s="81">
        <v>615</v>
      </c>
      <c r="D208" s="216" t="s">
        <v>516</v>
      </c>
      <c r="E208" s="79">
        <v>16.100000000000001</v>
      </c>
      <c r="F208" s="11" t="s">
        <v>494</v>
      </c>
      <c r="G208" s="11" t="s">
        <v>478</v>
      </c>
      <c r="H208" s="11" t="s">
        <v>518</v>
      </c>
      <c r="I208" s="11" t="s">
        <v>524</v>
      </c>
      <c r="J208" s="49" t="s">
        <v>525</v>
      </c>
      <c r="K208" s="49"/>
      <c r="L208" s="49"/>
      <c r="M208" s="49"/>
      <c r="N208" s="49"/>
      <c r="O208" s="38"/>
      <c r="P208" s="38"/>
      <c r="Q208" s="38"/>
      <c r="R208" s="38"/>
      <c r="S208" s="39"/>
      <c r="T208" s="37"/>
      <c r="U208" s="27"/>
    </row>
    <row r="209" spans="1:21" s="20" customFormat="1" ht="14.25" customHeight="1" thickBot="1">
      <c r="A209" s="75">
        <v>211</v>
      </c>
      <c r="B209" s="9" t="s">
        <v>495</v>
      </c>
      <c r="C209" s="81">
        <v>616</v>
      </c>
      <c r="D209" s="216" t="s">
        <v>513</v>
      </c>
      <c r="E209" s="11">
        <v>18.600000000000001</v>
      </c>
      <c r="F209" s="11" t="s">
        <v>508</v>
      </c>
      <c r="G209" s="11" t="s">
        <v>509</v>
      </c>
      <c r="H209" s="11" t="s">
        <v>518</v>
      </c>
      <c r="I209" s="11" t="s">
        <v>524</v>
      </c>
      <c r="J209" s="49" t="s">
        <v>520</v>
      </c>
      <c r="K209" s="49"/>
      <c r="L209" s="49"/>
      <c r="M209" s="49"/>
      <c r="N209" s="49"/>
      <c r="O209" s="38"/>
      <c r="P209" s="38"/>
      <c r="Q209" s="38"/>
      <c r="R209" s="38"/>
      <c r="S209" s="39"/>
      <c r="T209" s="37"/>
      <c r="U209" s="27"/>
    </row>
    <row r="210" spans="1:21" s="20" customFormat="1" ht="14.25" customHeight="1" thickBot="1">
      <c r="A210" s="75">
        <v>211</v>
      </c>
      <c r="B210" s="9" t="s">
        <v>495</v>
      </c>
      <c r="C210" s="81">
        <v>617</v>
      </c>
      <c r="D210" s="216" t="s">
        <v>513</v>
      </c>
      <c r="E210" s="11">
        <v>20.6</v>
      </c>
      <c r="F210" s="11" t="s">
        <v>515</v>
      </c>
      <c r="G210" s="11" t="s">
        <v>509</v>
      </c>
      <c r="H210" s="11" t="s">
        <v>518</v>
      </c>
      <c r="I210" s="11" t="s">
        <v>524</v>
      </c>
      <c r="J210" s="49" t="s">
        <v>520</v>
      </c>
      <c r="K210" s="49"/>
      <c r="L210" s="49"/>
      <c r="M210" s="49"/>
      <c r="N210" s="49"/>
      <c r="O210" s="38"/>
      <c r="P210" s="38"/>
      <c r="Q210" s="38"/>
      <c r="R210" s="38"/>
      <c r="S210" s="39"/>
      <c r="T210" s="37"/>
      <c r="U210" s="27"/>
    </row>
    <row r="211" spans="1:21" s="189" customFormat="1" ht="14.25" customHeight="1" thickBot="1">
      <c r="A211" s="179">
        <v>211</v>
      </c>
      <c r="B211" s="180" t="s">
        <v>495</v>
      </c>
      <c r="C211" s="181"/>
      <c r="D211" s="253" t="s">
        <v>936</v>
      </c>
      <c r="E211" s="187">
        <v>483.4</v>
      </c>
      <c r="F211" s="187"/>
      <c r="G211" s="187"/>
      <c r="H211" s="187"/>
      <c r="I211" s="187"/>
      <c r="J211" s="186"/>
      <c r="K211" s="186"/>
      <c r="L211" s="186"/>
      <c r="M211" s="186"/>
      <c r="N211" s="186"/>
      <c r="O211" s="187"/>
      <c r="P211" s="187"/>
      <c r="Q211" s="187"/>
      <c r="R211" s="187"/>
      <c r="S211" s="188"/>
      <c r="U211" s="194"/>
    </row>
    <row r="212" spans="1:21" s="20" customFormat="1" ht="14.25" customHeight="1" thickBot="1">
      <c r="A212" s="75">
        <v>211</v>
      </c>
      <c r="B212" s="9" t="s">
        <v>938</v>
      </c>
      <c r="C212" s="93"/>
      <c r="D212" s="251" t="s">
        <v>939</v>
      </c>
      <c r="E212" s="11">
        <v>9698.7999999999993</v>
      </c>
      <c r="F212" s="11"/>
      <c r="G212" s="11"/>
      <c r="H212" s="11"/>
      <c r="I212" s="11"/>
      <c r="J212" s="49"/>
      <c r="K212" s="49"/>
      <c r="L212" s="49"/>
      <c r="M212" s="49"/>
      <c r="N212" s="49"/>
      <c r="O212" s="38"/>
      <c r="P212" s="38"/>
      <c r="Q212" s="38"/>
      <c r="R212" s="38"/>
      <c r="S212" s="39"/>
      <c r="T212" s="37"/>
      <c r="U212" s="27"/>
    </row>
  </sheetData>
  <autoFilter ref="I1:I190">
    <filterColumn colId="0">
      <filters>
        <filter val="DVS"/>
        <filter val="YES"/>
      </filters>
    </filterColumn>
  </autoFilter>
  <phoneticPr fontId="11" type="noConversion"/>
  <pageMargins left="0.70866141732283472" right="0.70866141732283472" top="0.74803149606299213" bottom="0.74803149606299213" header="0" footer="0"/>
  <pageSetup paperSize="8" scale="8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U206"/>
  <sheetViews>
    <sheetView topLeftCell="A139" zoomScale="85" zoomScaleNormal="85" workbookViewId="0">
      <selection activeCell="D167" sqref="D167"/>
    </sheetView>
  </sheetViews>
  <sheetFormatPr defaultRowHeight="14.4"/>
  <cols>
    <col min="1" max="1" width="14.88671875" customWidth="1"/>
    <col min="2" max="2" width="16.6640625" customWidth="1"/>
    <col min="3" max="3" width="17.33203125" customWidth="1"/>
    <col min="4" max="4" width="33.109375" style="217" customWidth="1"/>
  </cols>
  <sheetData>
    <row r="1" spans="1:21" s="20" customFormat="1" ht="31.5" customHeight="1">
      <c r="A1" s="74"/>
      <c r="B1" s="74"/>
      <c r="C1" s="74"/>
      <c r="D1" s="217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  <c r="P1" s="38"/>
      <c r="Q1" s="38"/>
      <c r="R1" s="38"/>
      <c r="S1" s="39"/>
      <c r="T1" s="37"/>
      <c r="U1" s="27"/>
    </row>
    <row r="2" spans="1:2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217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21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217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168"/>
      <c r="Q3" s="25"/>
    </row>
    <row r="4" spans="1:21" s="20" customFormat="1" ht="14.25" customHeight="1">
      <c r="A4" s="11">
        <v>113</v>
      </c>
      <c r="B4" s="8" t="s">
        <v>73</v>
      </c>
      <c r="C4" s="80" t="s">
        <v>541</v>
      </c>
      <c r="D4" s="254" t="s">
        <v>572</v>
      </c>
      <c r="E4" s="80" t="s">
        <v>954</v>
      </c>
      <c r="F4" s="80" t="s">
        <v>547</v>
      </c>
      <c r="G4" s="80" t="s">
        <v>543</v>
      </c>
      <c r="H4" s="80" t="s">
        <v>544</v>
      </c>
      <c r="I4" s="81" t="s">
        <v>76</v>
      </c>
      <c r="J4" s="218" t="s">
        <v>261</v>
      </c>
      <c r="K4" s="218"/>
      <c r="L4" s="171"/>
      <c r="M4" s="171"/>
      <c r="N4" s="171"/>
      <c r="O4" s="172"/>
      <c r="P4" s="173"/>
      <c r="Q4" s="173"/>
      <c r="R4" s="173"/>
      <c r="S4" s="174"/>
      <c r="T4" s="173"/>
      <c r="U4" s="27"/>
    </row>
    <row r="5" spans="1:21" s="20" customFormat="1" ht="14.25" customHeight="1">
      <c r="A5" s="11">
        <v>113</v>
      </c>
      <c r="B5" s="8" t="s">
        <v>73</v>
      </c>
      <c r="C5" s="82">
        <v>102</v>
      </c>
      <c r="D5" s="175" t="s">
        <v>944</v>
      </c>
      <c r="E5" s="83" t="s">
        <v>955</v>
      </c>
      <c r="F5" s="82" t="s">
        <v>326</v>
      </c>
      <c r="G5" s="80" t="s">
        <v>543</v>
      </c>
      <c r="H5" s="80" t="s">
        <v>548</v>
      </c>
      <c r="I5" s="83" t="s">
        <v>545</v>
      </c>
      <c r="J5" s="218" t="s">
        <v>546</v>
      </c>
      <c r="K5" s="218"/>
      <c r="L5" s="171"/>
      <c r="M5" s="171"/>
      <c r="N5" s="171"/>
      <c r="O5" s="173"/>
      <c r="P5" s="172"/>
      <c r="Q5" s="172"/>
      <c r="R5" s="172"/>
      <c r="S5" s="172"/>
      <c r="T5" s="172"/>
      <c r="U5" s="27"/>
    </row>
    <row r="6" spans="1:21" s="19" customFormat="1" ht="14.25" customHeight="1">
      <c r="A6" s="11">
        <v>113</v>
      </c>
      <c r="B6" s="8" t="s">
        <v>73</v>
      </c>
      <c r="C6" s="81">
        <v>103</v>
      </c>
      <c r="D6" s="170" t="s">
        <v>573</v>
      </c>
      <c r="E6" s="80" t="s">
        <v>956</v>
      </c>
      <c r="F6" s="82" t="s">
        <v>326</v>
      </c>
      <c r="G6" s="80" t="s">
        <v>543</v>
      </c>
      <c r="H6" s="80" t="s">
        <v>549</v>
      </c>
      <c r="I6" s="81" t="s">
        <v>76</v>
      </c>
      <c r="J6" s="218" t="s">
        <v>546</v>
      </c>
      <c r="K6" s="218"/>
      <c r="L6" s="171"/>
      <c r="M6" s="171"/>
      <c r="N6" s="171"/>
      <c r="O6" s="172"/>
      <c r="P6" s="172"/>
      <c r="Q6" s="172"/>
      <c r="R6" s="172"/>
      <c r="S6" s="172"/>
      <c r="T6" s="176"/>
      <c r="U6" s="28"/>
    </row>
    <row r="7" spans="1:21" ht="15" customHeight="1">
      <c r="A7" s="11">
        <v>113</v>
      </c>
      <c r="B7" s="8" t="s">
        <v>73</v>
      </c>
      <c r="C7" s="81">
        <v>105</v>
      </c>
      <c r="D7" s="170" t="s">
        <v>943</v>
      </c>
      <c r="E7" s="80" t="s">
        <v>957</v>
      </c>
      <c r="F7" s="80" t="s">
        <v>326</v>
      </c>
      <c r="G7" s="80" t="s">
        <v>543</v>
      </c>
      <c r="H7" s="80" t="s">
        <v>549</v>
      </c>
      <c r="I7" s="80" t="s">
        <v>76</v>
      </c>
      <c r="J7" s="80" t="s">
        <v>546</v>
      </c>
      <c r="K7" s="219"/>
      <c r="L7" s="177"/>
      <c r="M7" s="177"/>
      <c r="N7" s="177"/>
      <c r="O7" s="172"/>
      <c r="P7" s="176"/>
      <c r="Q7" s="176"/>
      <c r="R7" s="176"/>
      <c r="S7" s="176"/>
      <c r="T7" s="176"/>
      <c r="U7" s="25"/>
    </row>
    <row r="8" spans="1:21" ht="15" customHeight="1">
      <c r="A8" s="11">
        <v>113</v>
      </c>
      <c r="B8" s="8" t="s">
        <v>73</v>
      </c>
      <c r="C8" s="97">
        <v>106</v>
      </c>
      <c r="D8" s="170" t="s">
        <v>942</v>
      </c>
      <c r="E8" s="80" t="s">
        <v>958</v>
      </c>
      <c r="F8" s="80" t="s">
        <v>326</v>
      </c>
      <c r="G8" s="80" t="s">
        <v>543</v>
      </c>
      <c r="H8" s="80" t="s">
        <v>549</v>
      </c>
      <c r="I8" s="80" t="s">
        <v>76</v>
      </c>
      <c r="J8" s="80" t="s">
        <v>546</v>
      </c>
      <c r="K8" s="220"/>
      <c r="L8" s="178"/>
      <c r="M8" s="178"/>
      <c r="N8" s="178"/>
      <c r="O8" s="176"/>
      <c r="P8" s="178"/>
      <c r="Q8" s="178"/>
      <c r="R8" s="178"/>
      <c r="S8" s="178"/>
      <c r="T8" s="178"/>
    </row>
    <row r="9" spans="1:21" ht="15" customHeight="1">
      <c r="A9" s="11">
        <v>113</v>
      </c>
      <c r="B9" s="8" t="s">
        <v>73</v>
      </c>
      <c r="C9" s="84">
        <v>109</v>
      </c>
      <c r="D9" s="170" t="s">
        <v>550</v>
      </c>
      <c r="E9" s="80" t="s">
        <v>959</v>
      </c>
      <c r="F9" s="80" t="s">
        <v>90</v>
      </c>
      <c r="G9" s="80" t="s">
        <v>543</v>
      </c>
      <c r="H9" s="80" t="s">
        <v>549</v>
      </c>
      <c r="I9" s="80" t="s">
        <v>76</v>
      </c>
      <c r="J9" s="80" t="s">
        <v>565</v>
      </c>
      <c r="K9" s="220"/>
      <c r="L9" s="178"/>
      <c r="M9" s="178"/>
      <c r="N9" s="178"/>
      <c r="O9" s="178"/>
      <c r="P9" s="178"/>
      <c r="Q9" s="178"/>
      <c r="R9" s="178"/>
      <c r="S9" s="178"/>
      <c r="T9" s="178"/>
    </row>
    <row r="10" spans="1:21" ht="15" customHeight="1">
      <c r="A10" s="11">
        <v>113</v>
      </c>
      <c r="B10" s="8" t="s">
        <v>73</v>
      </c>
      <c r="C10" s="84">
        <v>112</v>
      </c>
      <c r="D10" s="170" t="s">
        <v>551</v>
      </c>
      <c r="E10" s="80" t="s">
        <v>960</v>
      </c>
      <c r="F10" s="80" t="s">
        <v>90</v>
      </c>
      <c r="G10" s="80" t="s">
        <v>543</v>
      </c>
      <c r="H10" s="80" t="s">
        <v>549</v>
      </c>
      <c r="I10" s="80" t="s">
        <v>76</v>
      </c>
      <c r="J10" s="80" t="s">
        <v>565</v>
      </c>
      <c r="K10" s="220"/>
      <c r="L10" s="178"/>
      <c r="M10" s="178"/>
      <c r="N10" s="178"/>
      <c r="O10" s="178"/>
      <c r="P10" s="178"/>
      <c r="Q10" s="178"/>
      <c r="R10" s="178"/>
      <c r="S10" s="178"/>
      <c r="T10" s="178"/>
    </row>
    <row r="11" spans="1:21" ht="15" customHeight="1">
      <c r="A11" s="11">
        <v>113</v>
      </c>
      <c r="B11" s="8" t="s">
        <v>73</v>
      </c>
      <c r="C11" s="84">
        <v>113</v>
      </c>
      <c r="D11" s="170" t="s">
        <v>1296</v>
      </c>
      <c r="E11" s="80" t="s">
        <v>961</v>
      </c>
      <c r="F11" s="80" t="s">
        <v>90</v>
      </c>
      <c r="G11" s="80" t="s">
        <v>543</v>
      </c>
      <c r="H11" s="80" t="s">
        <v>561</v>
      </c>
      <c r="I11" s="80" t="s">
        <v>563</v>
      </c>
      <c r="J11" s="80" t="s">
        <v>565</v>
      </c>
      <c r="K11" s="220"/>
      <c r="L11" s="178"/>
      <c r="M11" s="178"/>
      <c r="N11" s="178"/>
      <c r="O11" s="178"/>
      <c r="P11" s="178"/>
      <c r="Q11" s="178"/>
      <c r="R11" s="178"/>
      <c r="S11" s="178"/>
      <c r="T11" s="178"/>
    </row>
    <row r="12" spans="1:21" ht="15" customHeight="1">
      <c r="A12" s="11">
        <v>113</v>
      </c>
      <c r="B12" s="8" t="s">
        <v>73</v>
      </c>
      <c r="C12" s="84">
        <v>115</v>
      </c>
      <c r="D12" s="170" t="s">
        <v>574</v>
      </c>
      <c r="E12" s="80" t="s">
        <v>962</v>
      </c>
      <c r="F12" s="80" t="s">
        <v>279</v>
      </c>
      <c r="G12" s="80" t="s">
        <v>543</v>
      </c>
      <c r="H12" s="80" t="s">
        <v>561</v>
      </c>
      <c r="I12" s="80" t="s">
        <v>545</v>
      </c>
      <c r="J12" s="80" t="s">
        <v>566</v>
      </c>
      <c r="K12" s="220"/>
      <c r="L12" s="178"/>
      <c r="M12" s="178"/>
      <c r="N12" s="178"/>
      <c r="O12" s="178"/>
      <c r="P12" s="178"/>
      <c r="Q12" s="178"/>
      <c r="R12" s="178"/>
      <c r="S12" s="178"/>
      <c r="T12" s="178"/>
    </row>
    <row r="13" spans="1:21" ht="15" customHeight="1">
      <c r="A13" s="11">
        <v>113</v>
      </c>
      <c r="B13" s="8" t="s">
        <v>73</v>
      </c>
      <c r="C13" s="84">
        <v>116</v>
      </c>
      <c r="D13" s="170" t="s">
        <v>575</v>
      </c>
      <c r="E13" s="80" t="s">
        <v>963</v>
      </c>
      <c r="F13" s="80" t="s">
        <v>279</v>
      </c>
      <c r="G13" s="80" t="s">
        <v>543</v>
      </c>
      <c r="H13" s="80" t="s">
        <v>561</v>
      </c>
      <c r="I13" s="80" t="s">
        <v>545</v>
      </c>
      <c r="J13" s="80" t="s">
        <v>566</v>
      </c>
      <c r="K13" s="220"/>
      <c r="L13" s="178"/>
      <c r="M13" s="178"/>
      <c r="N13" s="178"/>
      <c r="O13" s="178"/>
      <c r="P13" s="178"/>
      <c r="Q13" s="178"/>
      <c r="R13" s="178"/>
      <c r="S13" s="178"/>
      <c r="T13" s="178"/>
    </row>
    <row r="14" spans="1:21" ht="15" customHeight="1">
      <c r="A14" s="11">
        <v>113</v>
      </c>
      <c r="B14" s="8" t="s">
        <v>73</v>
      </c>
      <c r="C14" s="84">
        <v>117</v>
      </c>
      <c r="D14" s="170" t="s">
        <v>576</v>
      </c>
      <c r="E14" s="80">
        <v>24.6</v>
      </c>
      <c r="F14" s="80" t="s">
        <v>326</v>
      </c>
      <c r="G14" s="80" t="s">
        <v>543</v>
      </c>
      <c r="H14" s="80" t="s">
        <v>561</v>
      </c>
      <c r="I14" s="80">
        <v>3000</v>
      </c>
      <c r="J14" s="80" t="s">
        <v>567</v>
      </c>
      <c r="K14" s="220"/>
      <c r="L14" s="178"/>
      <c r="M14" s="178"/>
      <c r="N14" s="178"/>
      <c r="O14" s="178"/>
      <c r="P14" s="178"/>
      <c r="Q14" s="178"/>
      <c r="R14" s="178"/>
      <c r="S14" s="178"/>
      <c r="T14" s="178"/>
    </row>
    <row r="15" spans="1:21" ht="15" customHeight="1">
      <c r="A15" s="11">
        <v>113</v>
      </c>
      <c r="B15" s="8" t="s">
        <v>73</v>
      </c>
      <c r="C15" s="84">
        <v>118</v>
      </c>
      <c r="D15" s="170" t="s">
        <v>1081</v>
      </c>
      <c r="E15" s="80">
        <v>8.3000000000000007</v>
      </c>
      <c r="F15" s="80" t="s">
        <v>76</v>
      </c>
      <c r="G15" s="80" t="s">
        <v>543</v>
      </c>
      <c r="H15" s="80" t="s">
        <v>549</v>
      </c>
      <c r="I15" s="80" t="s">
        <v>76</v>
      </c>
      <c r="J15" s="80" t="s">
        <v>76</v>
      </c>
      <c r="K15" s="220"/>
      <c r="L15" s="178"/>
      <c r="M15" s="178"/>
      <c r="N15" s="178"/>
      <c r="O15" s="178"/>
      <c r="P15" s="178"/>
      <c r="Q15" s="178"/>
      <c r="R15" s="178"/>
      <c r="S15" s="178"/>
      <c r="T15" s="178"/>
    </row>
    <row r="16" spans="1:21" ht="15" customHeight="1">
      <c r="A16" s="11">
        <v>113</v>
      </c>
      <c r="B16" s="8" t="s">
        <v>73</v>
      </c>
      <c r="C16" s="84">
        <v>119</v>
      </c>
      <c r="D16" s="170" t="s">
        <v>1082</v>
      </c>
      <c r="E16" s="80">
        <v>38</v>
      </c>
      <c r="F16" s="80" t="s">
        <v>554</v>
      </c>
      <c r="G16" s="80" t="s">
        <v>543</v>
      </c>
      <c r="H16" s="80" t="s">
        <v>561</v>
      </c>
      <c r="I16" s="80" t="s">
        <v>564</v>
      </c>
      <c r="J16" s="80" t="s">
        <v>566</v>
      </c>
      <c r="K16" s="220"/>
      <c r="L16" s="178"/>
      <c r="M16" s="178"/>
      <c r="N16" s="178"/>
      <c r="O16" s="178"/>
      <c r="P16" s="178"/>
      <c r="Q16" s="178"/>
      <c r="R16" s="178"/>
      <c r="S16" s="178"/>
      <c r="T16" s="178"/>
    </row>
    <row r="17" spans="1:20" ht="15" customHeight="1">
      <c r="A17" s="11">
        <v>113</v>
      </c>
      <c r="B17" s="8" t="s">
        <v>73</v>
      </c>
      <c r="C17" s="84">
        <v>120</v>
      </c>
      <c r="D17" s="170" t="s">
        <v>577</v>
      </c>
      <c r="E17" s="80">
        <v>64</v>
      </c>
      <c r="F17" s="80" t="s">
        <v>555</v>
      </c>
      <c r="G17" s="80" t="s">
        <v>543</v>
      </c>
      <c r="H17" s="80" t="s">
        <v>561</v>
      </c>
      <c r="I17" s="80" t="s">
        <v>564</v>
      </c>
      <c r="J17" s="80" t="s">
        <v>566</v>
      </c>
      <c r="K17" s="220"/>
      <c r="L17" s="178"/>
      <c r="M17" s="178"/>
      <c r="N17" s="178"/>
      <c r="O17" s="178"/>
      <c r="P17" s="178"/>
      <c r="Q17" s="178"/>
      <c r="R17" s="178"/>
      <c r="S17" s="178"/>
      <c r="T17" s="178"/>
    </row>
    <row r="18" spans="1:20" ht="15" customHeight="1">
      <c r="A18" s="11">
        <v>113</v>
      </c>
      <c r="B18" s="8" t="s">
        <v>73</v>
      </c>
      <c r="C18" s="84">
        <v>121</v>
      </c>
      <c r="D18" s="170" t="s">
        <v>552</v>
      </c>
      <c r="E18" s="80">
        <v>30.86</v>
      </c>
      <c r="F18" s="80" t="s">
        <v>556</v>
      </c>
      <c r="G18" s="80" t="s">
        <v>543</v>
      </c>
      <c r="H18" s="80" t="s">
        <v>548</v>
      </c>
      <c r="I18" s="80" t="s">
        <v>545</v>
      </c>
      <c r="J18" s="80" t="s">
        <v>567</v>
      </c>
      <c r="K18" s="220"/>
      <c r="L18" s="178"/>
      <c r="M18" s="178"/>
      <c r="N18" s="178"/>
      <c r="O18" s="178"/>
      <c r="P18" s="178"/>
      <c r="Q18" s="178"/>
      <c r="R18" s="178"/>
      <c r="S18" s="178"/>
      <c r="T18" s="178"/>
    </row>
    <row r="19" spans="1:20" ht="15" customHeight="1">
      <c r="A19" s="11">
        <v>113</v>
      </c>
      <c r="B19" s="8" t="s">
        <v>73</v>
      </c>
      <c r="C19" s="84">
        <v>122</v>
      </c>
      <c r="D19" s="170" t="s">
        <v>578</v>
      </c>
      <c r="E19" s="80">
        <v>19.2</v>
      </c>
      <c r="F19" s="80" t="s">
        <v>557</v>
      </c>
      <c r="G19" s="80" t="s">
        <v>543</v>
      </c>
      <c r="H19" s="80" t="s">
        <v>544</v>
      </c>
      <c r="I19" s="80" t="s">
        <v>76</v>
      </c>
      <c r="J19" s="80" t="s">
        <v>568</v>
      </c>
      <c r="K19" s="220"/>
      <c r="L19" s="178"/>
      <c r="M19" s="178"/>
      <c r="N19" s="178"/>
      <c r="O19" s="178"/>
      <c r="P19" s="178"/>
      <c r="Q19" s="178"/>
      <c r="R19" s="178"/>
      <c r="S19" s="178"/>
      <c r="T19" s="178"/>
    </row>
    <row r="20" spans="1:20" ht="15" customHeight="1">
      <c r="A20" s="11">
        <v>113</v>
      </c>
      <c r="B20" s="8" t="s">
        <v>73</v>
      </c>
      <c r="C20" s="84">
        <v>123</v>
      </c>
      <c r="D20" s="170" t="s">
        <v>953</v>
      </c>
      <c r="E20" s="80">
        <v>8.3000000000000007</v>
      </c>
      <c r="F20" s="80" t="s">
        <v>76</v>
      </c>
      <c r="G20" s="80" t="s">
        <v>76</v>
      </c>
      <c r="H20" s="80" t="s">
        <v>76</v>
      </c>
      <c r="I20" s="80" t="s">
        <v>76</v>
      </c>
      <c r="J20" s="80" t="s">
        <v>76</v>
      </c>
      <c r="K20" s="220"/>
      <c r="L20" s="178"/>
      <c r="M20" s="178"/>
      <c r="N20" s="178"/>
      <c r="O20" s="178"/>
      <c r="P20" s="178"/>
      <c r="Q20" s="178"/>
      <c r="R20" s="178"/>
      <c r="S20" s="178"/>
      <c r="T20" s="178"/>
    </row>
    <row r="21" spans="1:20" ht="15" customHeight="1">
      <c r="A21" s="11">
        <v>113</v>
      </c>
      <c r="B21" s="8" t="s">
        <v>73</v>
      </c>
      <c r="C21" s="84">
        <v>126</v>
      </c>
      <c r="D21" s="170" t="s">
        <v>1078</v>
      </c>
      <c r="E21" s="80">
        <v>12.5</v>
      </c>
      <c r="F21" s="80" t="s">
        <v>557</v>
      </c>
      <c r="G21" s="80" t="s">
        <v>543</v>
      </c>
      <c r="H21" s="80" t="s">
        <v>548</v>
      </c>
      <c r="I21" s="80" t="s">
        <v>545</v>
      </c>
      <c r="J21" s="80" t="s">
        <v>566</v>
      </c>
      <c r="K21" s="220"/>
      <c r="L21" s="178"/>
      <c r="M21" s="178"/>
      <c r="N21" s="178"/>
      <c r="O21" s="178"/>
      <c r="P21" s="178"/>
      <c r="Q21" s="178"/>
      <c r="R21" s="178"/>
      <c r="S21" s="178"/>
      <c r="T21" s="178"/>
    </row>
    <row r="22" spans="1:20" ht="15" customHeight="1">
      <c r="A22" s="11">
        <v>113</v>
      </c>
      <c r="B22" s="8" t="s">
        <v>73</v>
      </c>
      <c r="C22" s="84">
        <v>127</v>
      </c>
      <c r="D22" s="170" t="s">
        <v>1131</v>
      </c>
      <c r="E22" s="80">
        <v>112.8</v>
      </c>
      <c r="F22" s="80" t="s">
        <v>557</v>
      </c>
      <c r="G22" s="80" t="s">
        <v>543</v>
      </c>
      <c r="H22" s="80" t="s">
        <v>548</v>
      </c>
      <c r="I22" s="80" t="s">
        <v>76</v>
      </c>
      <c r="J22" s="80" t="s">
        <v>76</v>
      </c>
      <c r="K22" s="220"/>
      <c r="L22" s="178"/>
      <c r="M22" s="178"/>
      <c r="N22" s="178"/>
      <c r="O22" s="178"/>
      <c r="P22" s="178"/>
      <c r="Q22" s="178"/>
      <c r="R22" s="178"/>
      <c r="S22" s="178"/>
      <c r="T22" s="178"/>
    </row>
    <row r="23" spans="1:20" ht="15" customHeight="1">
      <c r="A23" s="11">
        <v>113</v>
      </c>
      <c r="B23" s="8" t="s">
        <v>73</v>
      </c>
      <c r="C23" s="84">
        <v>128</v>
      </c>
      <c r="D23" s="170" t="s">
        <v>1130</v>
      </c>
      <c r="E23" s="80">
        <v>64.599999999999994</v>
      </c>
      <c r="F23" s="80" t="s">
        <v>555</v>
      </c>
      <c r="G23" s="80" t="s">
        <v>543</v>
      </c>
      <c r="H23" s="80" t="s">
        <v>561</v>
      </c>
      <c r="I23" s="80" t="s">
        <v>564</v>
      </c>
      <c r="J23" s="80" t="s">
        <v>566</v>
      </c>
      <c r="K23" s="220"/>
      <c r="L23" s="178"/>
      <c r="M23" s="178"/>
      <c r="N23" s="178"/>
      <c r="O23" s="178"/>
      <c r="P23" s="178"/>
      <c r="Q23" s="178"/>
      <c r="R23" s="178"/>
      <c r="S23" s="178"/>
      <c r="T23" s="178"/>
    </row>
    <row r="24" spans="1:20" ht="15" customHeight="1">
      <c r="A24" s="11">
        <v>113</v>
      </c>
      <c r="B24" s="8" t="s">
        <v>73</v>
      </c>
      <c r="C24" s="85" t="s">
        <v>579</v>
      </c>
      <c r="D24" s="170" t="s">
        <v>580</v>
      </c>
      <c r="E24" s="80">
        <v>8.9</v>
      </c>
      <c r="F24" s="80" t="s">
        <v>112</v>
      </c>
      <c r="G24" s="80" t="s">
        <v>543</v>
      </c>
      <c r="H24" s="80" t="s">
        <v>561</v>
      </c>
      <c r="I24" s="80" t="s">
        <v>564</v>
      </c>
      <c r="J24" s="80" t="s">
        <v>566</v>
      </c>
      <c r="K24" s="220"/>
      <c r="L24" s="178"/>
      <c r="M24" s="178"/>
      <c r="N24" s="178"/>
      <c r="O24" s="178"/>
      <c r="P24" s="178"/>
      <c r="Q24" s="178"/>
      <c r="R24" s="178"/>
      <c r="S24" s="178"/>
      <c r="T24" s="178"/>
    </row>
    <row r="25" spans="1:20" ht="15" customHeight="1">
      <c r="A25" s="11">
        <v>113</v>
      </c>
      <c r="B25" s="8" t="s">
        <v>73</v>
      </c>
      <c r="C25" s="85" t="s">
        <v>582</v>
      </c>
      <c r="D25" s="170" t="s">
        <v>581</v>
      </c>
      <c r="E25" s="80">
        <v>13.5</v>
      </c>
      <c r="F25" s="80" t="s">
        <v>112</v>
      </c>
      <c r="G25" s="80" t="s">
        <v>543</v>
      </c>
      <c r="H25" s="80" t="s">
        <v>561</v>
      </c>
      <c r="I25" s="80" t="s">
        <v>564</v>
      </c>
      <c r="J25" s="80" t="s">
        <v>566</v>
      </c>
      <c r="K25" s="220"/>
      <c r="L25" s="178"/>
      <c r="M25" s="178"/>
      <c r="N25" s="178"/>
      <c r="O25" s="178"/>
      <c r="P25" s="178"/>
      <c r="Q25" s="178"/>
      <c r="R25" s="178"/>
      <c r="S25" s="178"/>
      <c r="T25" s="178"/>
    </row>
    <row r="26" spans="1:20" ht="15" customHeight="1">
      <c r="A26" s="11">
        <v>113</v>
      </c>
      <c r="B26" s="8" t="s">
        <v>73</v>
      </c>
      <c r="C26" s="84">
        <v>131</v>
      </c>
      <c r="D26" s="170" t="s">
        <v>553</v>
      </c>
      <c r="E26" s="80">
        <v>7.9</v>
      </c>
      <c r="F26" s="80" t="s">
        <v>554</v>
      </c>
      <c r="G26" s="80" t="s">
        <v>543</v>
      </c>
      <c r="H26" s="80" t="s">
        <v>561</v>
      </c>
      <c r="I26" s="80" t="s">
        <v>545</v>
      </c>
      <c r="J26" s="80" t="s">
        <v>566</v>
      </c>
      <c r="K26" s="220"/>
      <c r="L26" s="178"/>
      <c r="M26" s="178"/>
      <c r="N26" s="178"/>
      <c r="O26" s="178"/>
      <c r="P26" s="178"/>
      <c r="Q26" s="178"/>
      <c r="R26" s="178"/>
      <c r="S26" s="178"/>
      <c r="T26" s="178"/>
    </row>
    <row r="27" spans="1:20" ht="15" customHeight="1">
      <c r="A27" s="11">
        <v>113</v>
      </c>
      <c r="B27" s="8" t="s">
        <v>73</v>
      </c>
      <c r="C27" s="84">
        <v>132</v>
      </c>
      <c r="D27" s="170" t="s">
        <v>583</v>
      </c>
      <c r="E27" s="80">
        <v>5.3</v>
      </c>
      <c r="F27" s="80" t="s">
        <v>558</v>
      </c>
      <c r="G27" s="80" t="s">
        <v>560</v>
      </c>
      <c r="H27" s="80" t="s">
        <v>562</v>
      </c>
      <c r="I27" s="80" t="s">
        <v>545</v>
      </c>
      <c r="J27" s="80" t="s">
        <v>76</v>
      </c>
      <c r="K27" s="220"/>
      <c r="L27" s="178"/>
      <c r="M27" s="178"/>
      <c r="N27" s="178"/>
      <c r="O27" s="178"/>
      <c r="P27" s="178"/>
      <c r="Q27" s="178"/>
      <c r="R27" s="178"/>
      <c r="S27" s="178"/>
      <c r="T27" s="178"/>
    </row>
    <row r="28" spans="1:20" ht="15" customHeight="1">
      <c r="A28" s="11">
        <v>113</v>
      </c>
      <c r="B28" s="8" t="s">
        <v>73</v>
      </c>
      <c r="C28" s="84">
        <v>133</v>
      </c>
      <c r="D28" s="170" t="s">
        <v>584</v>
      </c>
      <c r="E28" s="80">
        <v>53.3</v>
      </c>
      <c r="F28" s="80" t="s">
        <v>555</v>
      </c>
      <c r="G28" s="80" t="s">
        <v>543</v>
      </c>
      <c r="H28" s="80" t="s">
        <v>561</v>
      </c>
      <c r="I28" s="80" t="s">
        <v>564</v>
      </c>
      <c r="J28" s="80" t="s">
        <v>190</v>
      </c>
      <c r="K28" s="220"/>
      <c r="L28" s="178"/>
      <c r="M28" s="178"/>
      <c r="N28" s="178"/>
      <c r="O28" s="178"/>
      <c r="P28" s="178"/>
      <c r="Q28" s="178"/>
      <c r="R28" s="178"/>
      <c r="S28" s="178"/>
      <c r="T28" s="178"/>
    </row>
    <row r="29" spans="1:20" ht="15" customHeight="1">
      <c r="A29" s="11">
        <v>113</v>
      </c>
      <c r="B29" s="8" t="s">
        <v>73</v>
      </c>
      <c r="C29" s="84">
        <v>135</v>
      </c>
      <c r="D29" s="170" t="s">
        <v>585</v>
      </c>
      <c r="E29" s="80">
        <v>7.3</v>
      </c>
      <c r="F29" s="80" t="s">
        <v>559</v>
      </c>
      <c r="G29" s="80" t="s">
        <v>543</v>
      </c>
      <c r="H29" s="80" t="s">
        <v>549</v>
      </c>
      <c r="I29" s="80" t="s">
        <v>76</v>
      </c>
      <c r="J29" s="80" t="s">
        <v>569</v>
      </c>
      <c r="K29" s="220"/>
      <c r="L29" s="178"/>
      <c r="M29" s="178"/>
      <c r="N29" s="178"/>
      <c r="O29" s="178"/>
      <c r="P29" s="178"/>
      <c r="Q29" s="178"/>
      <c r="R29" s="178"/>
      <c r="S29" s="178"/>
      <c r="T29" s="178"/>
    </row>
    <row r="30" spans="1:20" ht="15" customHeight="1">
      <c r="A30" s="11">
        <v>113</v>
      </c>
      <c r="B30" s="8" t="s">
        <v>73</v>
      </c>
      <c r="C30" s="84">
        <v>136</v>
      </c>
      <c r="D30" s="170" t="s">
        <v>586</v>
      </c>
      <c r="E30" s="80">
        <v>41.2</v>
      </c>
      <c r="F30" s="80" t="s">
        <v>554</v>
      </c>
      <c r="G30" s="80" t="s">
        <v>543</v>
      </c>
      <c r="H30" s="80" t="s">
        <v>561</v>
      </c>
      <c r="I30" s="80" t="s">
        <v>564</v>
      </c>
      <c r="J30" s="80" t="s">
        <v>566</v>
      </c>
      <c r="K30" s="220"/>
      <c r="L30" s="178"/>
      <c r="M30" s="178"/>
      <c r="N30" s="178"/>
      <c r="O30" s="178"/>
      <c r="P30" s="178"/>
      <c r="Q30" s="178"/>
      <c r="R30" s="178"/>
      <c r="S30" s="178"/>
      <c r="T30" s="178"/>
    </row>
    <row r="31" spans="1:20" ht="15" customHeight="1">
      <c r="A31" s="11">
        <v>113</v>
      </c>
      <c r="B31" s="8" t="s">
        <v>73</v>
      </c>
      <c r="C31" s="84">
        <v>137</v>
      </c>
      <c r="D31" s="170" t="s">
        <v>1297</v>
      </c>
      <c r="E31" s="80">
        <v>86.9</v>
      </c>
      <c r="F31" s="80" t="s">
        <v>555</v>
      </c>
      <c r="G31" s="80" t="s">
        <v>543</v>
      </c>
      <c r="H31" s="80" t="s">
        <v>561</v>
      </c>
      <c r="I31" s="80" t="s">
        <v>564</v>
      </c>
      <c r="J31" s="80" t="s">
        <v>566</v>
      </c>
      <c r="K31" s="220"/>
      <c r="L31" s="178"/>
      <c r="M31" s="178"/>
      <c r="N31" s="178"/>
      <c r="O31" s="178"/>
      <c r="P31" s="178"/>
      <c r="Q31" s="178"/>
      <c r="R31" s="178"/>
      <c r="S31" s="178"/>
      <c r="T31" s="178"/>
    </row>
    <row r="32" spans="1:20" ht="15" customHeight="1">
      <c r="A32" s="11">
        <v>113</v>
      </c>
      <c r="B32" s="8" t="s">
        <v>73</v>
      </c>
      <c r="C32" s="84">
        <v>138</v>
      </c>
      <c r="D32" s="170" t="s">
        <v>1077</v>
      </c>
      <c r="E32" s="80">
        <v>143.19999999999999</v>
      </c>
      <c r="F32" s="80" t="s">
        <v>554</v>
      </c>
      <c r="G32" s="80" t="s">
        <v>543</v>
      </c>
      <c r="H32" s="80" t="s">
        <v>548</v>
      </c>
      <c r="I32" s="80">
        <v>2800</v>
      </c>
      <c r="J32" s="80" t="s">
        <v>566</v>
      </c>
      <c r="K32" s="220"/>
      <c r="L32" s="178"/>
      <c r="M32" s="178"/>
      <c r="N32" s="178"/>
      <c r="O32" s="178"/>
      <c r="P32" s="178"/>
      <c r="Q32" s="178"/>
      <c r="R32" s="178"/>
      <c r="S32" s="178"/>
      <c r="T32" s="178"/>
    </row>
    <row r="33" spans="1:20" ht="15" customHeight="1">
      <c r="A33" s="11">
        <v>113</v>
      </c>
      <c r="B33" s="8" t="s">
        <v>73</v>
      </c>
      <c r="C33" s="84">
        <v>139</v>
      </c>
      <c r="D33" s="170" t="s">
        <v>1077</v>
      </c>
      <c r="E33" s="80">
        <v>22.4</v>
      </c>
      <c r="F33" s="80" t="s">
        <v>556</v>
      </c>
      <c r="G33" s="80" t="s">
        <v>543</v>
      </c>
      <c r="H33" s="80" t="s">
        <v>548</v>
      </c>
      <c r="I33" s="80">
        <v>2800</v>
      </c>
      <c r="J33" s="80" t="s">
        <v>546</v>
      </c>
      <c r="K33" s="220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 ht="15" customHeight="1">
      <c r="A34" s="11">
        <v>113</v>
      </c>
      <c r="B34" s="8" t="s">
        <v>73</v>
      </c>
      <c r="C34" s="84">
        <v>150</v>
      </c>
      <c r="D34" s="170" t="s">
        <v>1298</v>
      </c>
      <c r="E34" s="80">
        <v>14.4</v>
      </c>
      <c r="F34" s="80"/>
      <c r="G34" s="80"/>
      <c r="H34" s="80"/>
      <c r="I34" s="80"/>
      <c r="J34" s="80"/>
      <c r="K34" s="220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 ht="15" customHeight="1">
      <c r="A35" s="11">
        <v>113</v>
      </c>
      <c r="B35" s="8" t="s">
        <v>73</v>
      </c>
      <c r="C35" s="84">
        <v>151</v>
      </c>
      <c r="D35" s="170" t="s">
        <v>952</v>
      </c>
      <c r="E35" s="80">
        <v>9.9</v>
      </c>
      <c r="F35" s="80" t="s">
        <v>76</v>
      </c>
      <c r="G35" s="80" t="s">
        <v>76</v>
      </c>
      <c r="H35" s="80" t="s">
        <v>76</v>
      </c>
      <c r="I35" s="80" t="s">
        <v>76</v>
      </c>
      <c r="J35" s="80" t="s">
        <v>76</v>
      </c>
      <c r="K35" s="220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 ht="15" customHeight="1">
      <c r="A36" s="11">
        <v>113</v>
      </c>
      <c r="B36" s="8" t="s">
        <v>73</v>
      </c>
      <c r="C36" s="84">
        <v>152</v>
      </c>
      <c r="D36" s="170" t="s">
        <v>1079</v>
      </c>
      <c r="E36" s="80">
        <v>118.1</v>
      </c>
      <c r="F36" s="80" t="s">
        <v>554</v>
      </c>
      <c r="G36" s="80" t="s">
        <v>543</v>
      </c>
      <c r="H36" s="80" t="s">
        <v>561</v>
      </c>
      <c r="I36" s="80">
        <v>2900</v>
      </c>
      <c r="J36" s="80" t="s">
        <v>567</v>
      </c>
      <c r="K36" s="220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 ht="15" customHeight="1">
      <c r="A37" s="11">
        <v>113</v>
      </c>
      <c r="B37" s="8" t="s">
        <v>73</v>
      </c>
      <c r="C37" s="84">
        <v>153</v>
      </c>
      <c r="D37" s="170" t="s">
        <v>587</v>
      </c>
      <c r="E37" s="80">
        <v>43.6</v>
      </c>
      <c r="F37" s="80" t="s">
        <v>559</v>
      </c>
      <c r="G37" s="80" t="s">
        <v>543</v>
      </c>
      <c r="H37" s="80" t="s">
        <v>549</v>
      </c>
      <c r="I37" s="80" t="s">
        <v>76</v>
      </c>
      <c r="J37" s="80" t="s">
        <v>569</v>
      </c>
      <c r="K37" s="220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 ht="15" customHeight="1">
      <c r="A38" s="11">
        <v>113</v>
      </c>
      <c r="B38" s="8" t="s">
        <v>73</v>
      </c>
      <c r="C38" s="84">
        <v>155</v>
      </c>
      <c r="D38" s="170" t="s">
        <v>1080</v>
      </c>
      <c r="E38" s="80">
        <v>15.4</v>
      </c>
      <c r="F38" s="80" t="s">
        <v>559</v>
      </c>
      <c r="G38" s="80" t="s">
        <v>543</v>
      </c>
      <c r="H38" s="80" t="s">
        <v>549</v>
      </c>
      <c r="I38" s="80">
        <v>2900</v>
      </c>
      <c r="J38" s="80" t="s">
        <v>569</v>
      </c>
      <c r="K38" s="220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ht="15" customHeight="1">
      <c r="A39" s="11">
        <v>113</v>
      </c>
      <c r="B39" s="8" t="s">
        <v>73</v>
      </c>
      <c r="C39" s="85" t="s">
        <v>945</v>
      </c>
      <c r="D39" s="170" t="s">
        <v>946</v>
      </c>
      <c r="E39" s="80">
        <v>59.4</v>
      </c>
      <c r="F39" s="80" t="s">
        <v>559</v>
      </c>
      <c r="G39" s="80" t="s">
        <v>543</v>
      </c>
      <c r="H39" s="80" t="s">
        <v>549</v>
      </c>
      <c r="I39" s="80">
        <v>2900</v>
      </c>
      <c r="J39" s="80" t="s">
        <v>569</v>
      </c>
      <c r="K39" s="220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 ht="15" customHeight="1">
      <c r="A40" s="11">
        <v>113</v>
      </c>
      <c r="B40" s="8" t="s">
        <v>73</v>
      </c>
      <c r="C40" s="84">
        <v>156</v>
      </c>
      <c r="D40" s="170" t="s">
        <v>974</v>
      </c>
      <c r="E40" s="80" t="s">
        <v>964</v>
      </c>
      <c r="F40" s="80" t="s">
        <v>326</v>
      </c>
      <c r="G40" s="80" t="s">
        <v>543</v>
      </c>
      <c r="H40" s="80" t="s">
        <v>544</v>
      </c>
      <c r="I40" s="80">
        <v>2900</v>
      </c>
      <c r="J40" s="80" t="s">
        <v>546</v>
      </c>
      <c r="K40" s="220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 ht="15" customHeight="1">
      <c r="A41" s="11">
        <v>113</v>
      </c>
      <c r="B41" s="8" t="s">
        <v>73</v>
      </c>
      <c r="C41" s="84">
        <v>157</v>
      </c>
      <c r="D41" s="170" t="s">
        <v>975</v>
      </c>
      <c r="E41" s="80" t="s">
        <v>964</v>
      </c>
      <c r="F41" s="80" t="s">
        <v>326</v>
      </c>
      <c r="G41" s="80" t="s">
        <v>543</v>
      </c>
      <c r="H41" s="80" t="s">
        <v>544</v>
      </c>
      <c r="I41" s="80">
        <v>2900</v>
      </c>
      <c r="J41" s="80" t="s">
        <v>546</v>
      </c>
      <c r="K41" s="220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 ht="15" customHeight="1">
      <c r="A42" s="11">
        <v>113</v>
      </c>
      <c r="B42" s="8" t="s">
        <v>73</v>
      </c>
      <c r="C42" s="98" t="s">
        <v>588</v>
      </c>
      <c r="D42" s="170" t="s">
        <v>976</v>
      </c>
      <c r="E42" s="80" t="s">
        <v>965</v>
      </c>
      <c r="F42" s="80" t="s">
        <v>923</v>
      </c>
      <c r="G42" s="80" t="s">
        <v>543</v>
      </c>
      <c r="H42" s="80" t="s">
        <v>561</v>
      </c>
      <c r="I42" s="80">
        <v>2900</v>
      </c>
      <c r="J42" s="80" t="s">
        <v>924</v>
      </c>
      <c r="K42" s="220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 ht="15" customHeight="1">
      <c r="A43" s="11">
        <v>113</v>
      </c>
      <c r="B43" s="8" t="s">
        <v>73</v>
      </c>
      <c r="C43" s="98" t="s">
        <v>589</v>
      </c>
      <c r="D43" s="170" t="s">
        <v>977</v>
      </c>
      <c r="E43" s="80" t="s">
        <v>965</v>
      </c>
      <c r="F43" s="80" t="s">
        <v>559</v>
      </c>
      <c r="G43" s="80" t="s">
        <v>543</v>
      </c>
      <c r="H43" s="80" t="s">
        <v>544</v>
      </c>
      <c r="I43" s="80">
        <v>2900</v>
      </c>
      <c r="J43" s="80" t="s">
        <v>76</v>
      </c>
      <c r="K43" s="220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 ht="15" customHeight="1">
      <c r="A44" s="11">
        <v>113</v>
      </c>
      <c r="B44" s="8" t="s">
        <v>73</v>
      </c>
      <c r="C44" s="98" t="s">
        <v>590</v>
      </c>
      <c r="D44" s="170" t="s">
        <v>978</v>
      </c>
      <c r="E44" s="80">
        <v>17.8</v>
      </c>
      <c r="F44" s="80" t="s">
        <v>76</v>
      </c>
      <c r="G44" s="80" t="s">
        <v>76</v>
      </c>
      <c r="H44" s="80" t="s">
        <v>76</v>
      </c>
      <c r="I44" s="80" t="s">
        <v>76</v>
      </c>
      <c r="J44" s="80" t="s">
        <v>76</v>
      </c>
      <c r="K44" s="220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 ht="15" customHeight="1">
      <c r="A45" s="11">
        <v>113</v>
      </c>
      <c r="B45" s="8" t="s">
        <v>73</v>
      </c>
      <c r="C45" s="98" t="s">
        <v>591</v>
      </c>
      <c r="D45" s="170" t="s">
        <v>979</v>
      </c>
      <c r="E45" s="80" t="s">
        <v>966</v>
      </c>
      <c r="F45" s="80" t="s">
        <v>556</v>
      </c>
      <c r="G45" s="80" t="s">
        <v>543</v>
      </c>
      <c r="H45" s="80" t="s">
        <v>561</v>
      </c>
      <c r="I45" s="80">
        <v>2900</v>
      </c>
      <c r="J45" s="80" t="s">
        <v>546</v>
      </c>
      <c r="K45" s="220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 ht="15" customHeight="1">
      <c r="A46" s="11">
        <v>113</v>
      </c>
      <c r="B46" s="8" t="s">
        <v>73</v>
      </c>
      <c r="C46" s="98" t="s">
        <v>592</v>
      </c>
      <c r="D46" s="170" t="s">
        <v>980</v>
      </c>
      <c r="E46" s="80" t="s">
        <v>967</v>
      </c>
      <c r="F46" s="80" t="s">
        <v>925</v>
      </c>
      <c r="G46" s="80" t="s">
        <v>560</v>
      </c>
      <c r="H46" s="80" t="s">
        <v>185</v>
      </c>
      <c r="I46" s="80">
        <v>2900</v>
      </c>
      <c r="J46" s="80" t="s">
        <v>76</v>
      </c>
      <c r="K46" s="220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5" customHeight="1">
      <c r="A47" s="11">
        <v>113</v>
      </c>
      <c r="B47" s="8" t="s">
        <v>73</v>
      </c>
      <c r="C47" s="98" t="s">
        <v>593</v>
      </c>
      <c r="D47" s="170" t="s">
        <v>981</v>
      </c>
      <c r="E47" s="80" t="s">
        <v>968</v>
      </c>
      <c r="F47" s="80" t="s">
        <v>925</v>
      </c>
      <c r="G47" s="80" t="s">
        <v>560</v>
      </c>
      <c r="H47" s="80" t="s">
        <v>185</v>
      </c>
      <c r="I47" s="80">
        <v>2900</v>
      </c>
      <c r="J47" s="80" t="s">
        <v>76</v>
      </c>
      <c r="K47" s="220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5" customHeight="1">
      <c r="A48" s="11">
        <v>113</v>
      </c>
      <c r="B48" s="8" t="s">
        <v>73</v>
      </c>
      <c r="C48" s="98" t="s">
        <v>947</v>
      </c>
      <c r="D48" s="170" t="s">
        <v>982</v>
      </c>
      <c r="E48" s="80" t="s">
        <v>969</v>
      </c>
      <c r="F48" s="80" t="s">
        <v>925</v>
      </c>
      <c r="G48" s="80" t="s">
        <v>560</v>
      </c>
      <c r="H48" s="80" t="s">
        <v>185</v>
      </c>
      <c r="I48" s="80">
        <v>2900</v>
      </c>
      <c r="J48" s="80" t="s">
        <v>76</v>
      </c>
      <c r="K48" s="220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1" ht="15" customHeight="1">
      <c r="A49" s="11">
        <v>113</v>
      </c>
      <c r="B49" s="8" t="s">
        <v>73</v>
      </c>
      <c r="C49" s="98" t="s">
        <v>594</v>
      </c>
      <c r="D49" s="170" t="s">
        <v>981</v>
      </c>
      <c r="E49" s="80" t="s">
        <v>970</v>
      </c>
      <c r="F49" s="80" t="s">
        <v>925</v>
      </c>
      <c r="G49" s="80" t="s">
        <v>560</v>
      </c>
      <c r="H49" s="80" t="s">
        <v>185</v>
      </c>
      <c r="I49" s="80">
        <v>2900</v>
      </c>
      <c r="J49" s="80" t="s">
        <v>76</v>
      </c>
      <c r="K49" s="220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1" ht="15" customHeight="1">
      <c r="A50" s="11">
        <v>113</v>
      </c>
      <c r="B50" s="8" t="s">
        <v>73</v>
      </c>
      <c r="C50" s="99" t="s">
        <v>595</v>
      </c>
      <c r="D50" s="170" t="s">
        <v>980</v>
      </c>
      <c r="E50" s="80" t="s">
        <v>971</v>
      </c>
      <c r="F50" s="80" t="s">
        <v>925</v>
      </c>
      <c r="G50" s="80" t="s">
        <v>560</v>
      </c>
      <c r="H50" s="80" t="s">
        <v>185</v>
      </c>
      <c r="I50" s="80">
        <v>2900</v>
      </c>
      <c r="J50" s="80" t="s">
        <v>76</v>
      </c>
      <c r="K50" s="220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1" ht="15" customHeight="1">
      <c r="A51" s="11">
        <v>113</v>
      </c>
      <c r="B51" s="8" t="s">
        <v>73</v>
      </c>
      <c r="C51" s="160" t="s">
        <v>233</v>
      </c>
      <c r="D51" s="170" t="s">
        <v>983</v>
      </c>
      <c r="E51" s="80" t="s">
        <v>972</v>
      </c>
      <c r="F51" s="80" t="s">
        <v>554</v>
      </c>
      <c r="G51" s="80" t="s">
        <v>543</v>
      </c>
      <c r="H51" s="80" t="s">
        <v>561</v>
      </c>
      <c r="I51" s="80">
        <v>2900</v>
      </c>
      <c r="J51" s="80" t="s">
        <v>190</v>
      </c>
      <c r="K51" s="220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1" ht="15" customHeight="1">
      <c r="A52" s="11">
        <v>113</v>
      </c>
      <c r="B52" s="8" t="s">
        <v>73</v>
      </c>
      <c r="C52" s="160" t="s">
        <v>234</v>
      </c>
      <c r="D52" s="170" t="s">
        <v>984</v>
      </c>
      <c r="E52" s="80">
        <v>10.6</v>
      </c>
      <c r="F52" s="80" t="s">
        <v>554</v>
      </c>
      <c r="G52" s="80" t="s">
        <v>543</v>
      </c>
      <c r="H52" s="80" t="s">
        <v>561</v>
      </c>
      <c r="I52" s="80">
        <v>2900</v>
      </c>
      <c r="J52" s="80" t="s">
        <v>190</v>
      </c>
      <c r="K52" s="220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1" ht="15" customHeight="1">
      <c r="A53" s="11">
        <v>113</v>
      </c>
      <c r="B53" s="8" t="s">
        <v>73</v>
      </c>
      <c r="C53" s="98" t="s">
        <v>596</v>
      </c>
      <c r="D53" s="170" t="s">
        <v>985</v>
      </c>
      <c r="E53" s="80">
        <v>12.8</v>
      </c>
      <c r="F53" s="80" t="s">
        <v>554</v>
      </c>
      <c r="G53" s="80" t="s">
        <v>543</v>
      </c>
      <c r="H53" s="80" t="s">
        <v>561</v>
      </c>
      <c r="I53" s="80">
        <v>2900</v>
      </c>
      <c r="J53" s="80" t="s">
        <v>190</v>
      </c>
      <c r="K53" s="220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1" ht="15" customHeight="1">
      <c r="A54" s="11">
        <v>113</v>
      </c>
      <c r="B54" s="8" t="s">
        <v>73</v>
      </c>
      <c r="C54" s="98" t="s">
        <v>597</v>
      </c>
      <c r="D54" s="170" t="s">
        <v>986</v>
      </c>
      <c r="E54" s="80">
        <v>6.9</v>
      </c>
      <c r="F54" s="80" t="s">
        <v>554</v>
      </c>
      <c r="G54" s="80" t="s">
        <v>543</v>
      </c>
      <c r="H54" s="80" t="s">
        <v>561</v>
      </c>
      <c r="I54" s="80">
        <v>2900</v>
      </c>
      <c r="J54" s="80" t="s">
        <v>190</v>
      </c>
      <c r="K54" s="220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1" ht="15" customHeight="1">
      <c r="A55" s="11">
        <v>113</v>
      </c>
      <c r="B55" s="8" t="s">
        <v>73</v>
      </c>
      <c r="C55" s="98" t="s">
        <v>598</v>
      </c>
      <c r="D55" s="170" t="s">
        <v>987</v>
      </c>
      <c r="E55" s="80">
        <v>6.8</v>
      </c>
      <c r="F55" s="80" t="s">
        <v>554</v>
      </c>
      <c r="G55" s="80" t="s">
        <v>543</v>
      </c>
      <c r="H55" s="80" t="s">
        <v>561</v>
      </c>
      <c r="I55" s="80">
        <v>2900</v>
      </c>
      <c r="J55" s="80" t="s">
        <v>190</v>
      </c>
      <c r="K55" s="220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1" ht="15" customHeight="1">
      <c r="A56" s="11">
        <v>113</v>
      </c>
      <c r="B56" s="8" t="s">
        <v>73</v>
      </c>
      <c r="C56" s="98" t="s">
        <v>599</v>
      </c>
      <c r="D56" s="170" t="s">
        <v>988</v>
      </c>
      <c r="E56" s="80" t="s">
        <v>973</v>
      </c>
      <c r="F56" s="80" t="s">
        <v>554</v>
      </c>
      <c r="G56" s="80" t="s">
        <v>543</v>
      </c>
      <c r="H56" s="80" t="s">
        <v>561</v>
      </c>
      <c r="I56" s="80">
        <v>2900</v>
      </c>
      <c r="J56" s="80" t="s">
        <v>190</v>
      </c>
      <c r="K56" s="220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1" ht="15" customHeight="1" thickBot="1">
      <c r="A57" s="11">
        <v>113</v>
      </c>
      <c r="B57" s="8" t="s">
        <v>73</v>
      </c>
      <c r="C57" s="98" t="s">
        <v>926</v>
      </c>
      <c r="D57" s="170" t="s">
        <v>927</v>
      </c>
      <c r="E57" s="80">
        <v>12.1</v>
      </c>
      <c r="F57" s="80" t="s">
        <v>326</v>
      </c>
      <c r="G57" s="80" t="s">
        <v>543</v>
      </c>
      <c r="H57" s="80" t="s">
        <v>544</v>
      </c>
      <c r="I57" s="80" t="s">
        <v>76</v>
      </c>
      <c r="J57" s="80" t="s">
        <v>546</v>
      </c>
      <c r="K57" s="220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1" s="191" customFormat="1" ht="14.25" customHeight="1" thickBot="1">
      <c r="A58" s="179">
        <v>113</v>
      </c>
      <c r="B58" s="180" t="s">
        <v>73</v>
      </c>
      <c r="C58" s="181"/>
      <c r="D58" s="245" t="s">
        <v>935</v>
      </c>
      <c r="E58" s="221">
        <v>2065.5</v>
      </c>
      <c r="F58" s="222"/>
      <c r="G58" s="223"/>
      <c r="H58" s="223"/>
      <c r="I58" s="223"/>
      <c r="J58" s="223"/>
      <c r="K58" s="224"/>
      <c r="L58" s="186"/>
      <c r="M58" s="186"/>
      <c r="N58" s="186"/>
      <c r="O58" s="187"/>
      <c r="P58" s="187"/>
      <c r="Q58" s="187"/>
      <c r="R58" s="187"/>
      <c r="S58" s="188"/>
      <c r="T58" s="189"/>
      <c r="U58" s="190"/>
    </row>
    <row r="59" spans="1:21" ht="14.25" customHeight="1">
      <c r="A59" s="11">
        <v>113</v>
      </c>
      <c r="B59" s="8" t="s">
        <v>256</v>
      </c>
      <c r="C59" s="84">
        <v>201</v>
      </c>
      <c r="D59" s="170" t="s">
        <v>989</v>
      </c>
      <c r="E59" s="80">
        <v>16.2</v>
      </c>
      <c r="F59" s="80" t="s">
        <v>547</v>
      </c>
      <c r="G59" s="80" t="s">
        <v>543</v>
      </c>
      <c r="H59" s="80" t="s">
        <v>544</v>
      </c>
      <c r="I59" s="80" t="s">
        <v>76</v>
      </c>
      <c r="J59" s="80" t="s">
        <v>186</v>
      </c>
      <c r="K59" s="220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1" ht="15" customHeight="1">
      <c r="A60" s="11">
        <v>113</v>
      </c>
      <c r="B60" s="8" t="s">
        <v>256</v>
      </c>
      <c r="C60" s="100">
        <v>202</v>
      </c>
      <c r="D60" s="170" t="s">
        <v>990</v>
      </c>
      <c r="E60" s="80">
        <v>7.1</v>
      </c>
      <c r="F60" s="80" t="s">
        <v>554</v>
      </c>
      <c r="G60" s="80" t="s">
        <v>543</v>
      </c>
      <c r="H60" s="80" t="s">
        <v>561</v>
      </c>
      <c r="I60" s="80">
        <v>2900</v>
      </c>
      <c r="J60" s="80" t="s">
        <v>190</v>
      </c>
      <c r="K60" s="220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1" ht="15" customHeight="1">
      <c r="A61" s="11">
        <v>113</v>
      </c>
      <c r="B61" s="8" t="s">
        <v>256</v>
      </c>
      <c r="C61" s="84">
        <v>203</v>
      </c>
      <c r="D61" s="170" t="s">
        <v>570</v>
      </c>
      <c r="E61" s="80">
        <v>166.9</v>
      </c>
      <c r="F61" s="80" t="s">
        <v>554</v>
      </c>
      <c r="G61" s="80" t="s">
        <v>543</v>
      </c>
      <c r="H61" s="80" t="s">
        <v>951</v>
      </c>
      <c r="I61" s="80">
        <v>2850</v>
      </c>
      <c r="J61" s="80" t="s">
        <v>190</v>
      </c>
      <c r="K61" s="220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1" ht="15" customHeight="1">
      <c r="A62" s="11">
        <v>113</v>
      </c>
      <c r="B62" s="8" t="s">
        <v>256</v>
      </c>
      <c r="C62" s="84">
        <v>205</v>
      </c>
      <c r="D62" s="170" t="s">
        <v>571</v>
      </c>
      <c r="E62" s="80">
        <v>138.5</v>
      </c>
      <c r="F62" s="80" t="s">
        <v>554</v>
      </c>
      <c r="G62" s="80" t="s">
        <v>543</v>
      </c>
      <c r="H62" s="80" t="s">
        <v>951</v>
      </c>
      <c r="I62" s="80">
        <v>2850</v>
      </c>
      <c r="J62" s="80" t="s">
        <v>190</v>
      </c>
      <c r="K62" s="220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1" ht="15" customHeight="1">
      <c r="A63" s="11">
        <v>113</v>
      </c>
      <c r="B63" s="8" t="s">
        <v>256</v>
      </c>
      <c r="C63" s="84">
        <v>206</v>
      </c>
      <c r="D63" s="170" t="s">
        <v>991</v>
      </c>
      <c r="E63" s="80">
        <v>16.2</v>
      </c>
      <c r="F63" s="80" t="s">
        <v>928</v>
      </c>
      <c r="G63" s="80" t="s">
        <v>543</v>
      </c>
      <c r="H63" s="80" t="s">
        <v>544</v>
      </c>
      <c r="I63" s="80" t="s">
        <v>76</v>
      </c>
      <c r="J63" s="80" t="s">
        <v>186</v>
      </c>
      <c r="K63" s="220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1" ht="15" customHeight="1">
      <c r="A64" s="11">
        <v>113</v>
      </c>
      <c r="B64" s="8" t="s">
        <v>256</v>
      </c>
      <c r="C64" s="84">
        <v>207</v>
      </c>
      <c r="D64" s="170" t="s">
        <v>570</v>
      </c>
      <c r="E64" s="80">
        <v>349.3</v>
      </c>
      <c r="F64" s="80" t="s">
        <v>950</v>
      </c>
      <c r="G64" s="80" t="s">
        <v>930</v>
      </c>
      <c r="H64" s="80" t="s">
        <v>932</v>
      </c>
      <c r="I64" s="80">
        <v>2800</v>
      </c>
      <c r="J64" s="80" t="s">
        <v>566</v>
      </c>
      <c r="K64" s="220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5" customHeight="1">
      <c r="A65" s="11">
        <v>113</v>
      </c>
      <c r="B65" s="8" t="s">
        <v>256</v>
      </c>
      <c r="C65" s="84">
        <v>208</v>
      </c>
      <c r="D65" s="170" t="s">
        <v>921</v>
      </c>
      <c r="E65" s="80">
        <v>189.4</v>
      </c>
      <c r="F65" s="80" t="s">
        <v>925</v>
      </c>
      <c r="G65" s="80" t="s">
        <v>543</v>
      </c>
      <c r="H65" s="80" t="s">
        <v>548</v>
      </c>
      <c r="I65" s="80" t="s">
        <v>76</v>
      </c>
      <c r="J65" s="80" t="s">
        <v>76</v>
      </c>
      <c r="K65" s="220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5" customHeight="1">
      <c r="A66" s="11">
        <v>113</v>
      </c>
      <c r="B66" s="8" t="s">
        <v>256</v>
      </c>
      <c r="C66" s="84">
        <v>209</v>
      </c>
      <c r="D66" s="170" t="s">
        <v>992</v>
      </c>
      <c r="E66" s="80">
        <v>53.5</v>
      </c>
      <c r="F66" s="80" t="s">
        <v>925</v>
      </c>
      <c r="G66" s="80" t="s">
        <v>560</v>
      </c>
      <c r="H66" s="80" t="s">
        <v>929</v>
      </c>
      <c r="I66" s="80">
        <v>2700</v>
      </c>
      <c r="J66" s="80" t="s">
        <v>76</v>
      </c>
      <c r="K66" s="220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5" customHeight="1">
      <c r="A67" s="11">
        <v>113</v>
      </c>
      <c r="B67" s="8" t="s">
        <v>256</v>
      </c>
      <c r="C67" s="101">
        <v>210</v>
      </c>
      <c r="D67" s="170" t="s">
        <v>993</v>
      </c>
      <c r="E67" s="80">
        <v>35.9</v>
      </c>
      <c r="F67" s="80" t="s">
        <v>925</v>
      </c>
      <c r="G67" s="80" t="s">
        <v>560</v>
      </c>
      <c r="H67" s="80" t="s">
        <v>929</v>
      </c>
      <c r="I67" s="80">
        <v>2700</v>
      </c>
      <c r="J67" s="80" t="s">
        <v>76</v>
      </c>
      <c r="K67" s="220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5" customHeight="1">
      <c r="A68" s="11">
        <v>113</v>
      </c>
      <c r="B68" s="8" t="s">
        <v>256</v>
      </c>
      <c r="C68" s="101">
        <v>211</v>
      </c>
      <c r="D68" s="170" t="s">
        <v>994</v>
      </c>
      <c r="E68" s="80">
        <v>2.8</v>
      </c>
      <c r="F68" s="80" t="s">
        <v>925</v>
      </c>
      <c r="G68" s="80" t="s">
        <v>560</v>
      </c>
      <c r="H68" s="80" t="s">
        <v>929</v>
      </c>
      <c r="I68" s="80">
        <v>2700</v>
      </c>
      <c r="J68" s="80" t="s">
        <v>76</v>
      </c>
      <c r="K68" s="220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5" customHeight="1">
      <c r="A69" s="11">
        <v>113</v>
      </c>
      <c r="B69" s="8" t="s">
        <v>256</v>
      </c>
      <c r="C69" s="101">
        <v>212</v>
      </c>
      <c r="D69" s="170" t="s">
        <v>995</v>
      </c>
      <c r="E69" s="80">
        <v>18.600000000000001</v>
      </c>
      <c r="F69" s="80" t="s">
        <v>925</v>
      </c>
      <c r="G69" s="80" t="s">
        <v>560</v>
      </c>
      <c r="H69" s="80" t="s">
        <v>929</v>
      </c>
      <c r="I69" s="80">
        <v>2700</v>
      </c>
      <c r="J69" s="80" t="s">
        <v>76</v>
      </c>
      <c r="K69" s="220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5" customHeight="1">
      <c r="A70" s="11">
        <v>113</v>
      </c>
      <c r="B70" s="8" t="s">
        <v>256</v>
      </c>
      <c r="C70" s="101">
        <v>213</v>
      </c>
      <c r="D70" s="170" t="s">
        <v>996</v>
      </c>
      <c r="E70" s="80">
        <v>26.3</v>
      </c>
      <c r="F70" s="80" t="s">
        <v>925</v>
      </c>
      <c r="G70" s="80" t="s">
        <v>560</v>
      </c>
      <c r="H70" s="80" t="s">
        <v>929</v>
      </c>
      <c r="I70" s="80">
        <v>2700</v>
      </c>
      <c r="J70" s="80" t="s">
        <v>76</v>
      </c>
      <c r="K70" s="220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5" customHeight="1">
      <c r="A71" s="11">
        <v>113</v>
      </c>
      <c r="B71" s="8" t="s">
        <v>256</v>
      </c>
      <c r="C71" s="101">
        <v>215</v>
      </c>
      <c r="D71" s="170" t="s">
        <v>997</v>
      </c>
      <c r="E71" s="80">
        <v>4</v>
      </c>
      <c r="F71" s="80" t="s">
        <v>925</v>
      </c>
      <c r="G71" s="80" t="s">
        <v>560</v>
      </c>
      <c r="H71" s="80" t="s">
        <v>929</v>
      </c>
      <c r="I71" s="80">
        <v>2700</v>
      </c>
      <c r="J71" s="80" t="s">
        <v>76</v>
      </c>
      <c r="K71" s="220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5" customHeight="1">
      <c r="A72" s="11">
        <v>113</v>
      </c>
      <c r="B72" s="8" t="s">
        <v>256</v>
      </c>
      <c r="C72" s="101">
        <v>216</v>
      </c>
      <c r="D72" s="170" t="s">
        <v>998</v>
      </c>
      <c r="E72" s="80">
        <v>57.1</v>
      </c>
      <c r="F72" s="80" t="s">
        <v>925</v>
      </c>
      <c r="G72" s="80" t="s">
        <v>560</v>
      </c>
      <c r="H72" s="80" t="s">
        <v>929</v>
      </c>
      <c r="I72" s="80">
        <v>2700</v>
      </c>
      <c r="J72" s="80" t="s">
        <v>76</v>
      </c>
      <c r="K72" s="220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5" customHeight="1">
      <c r="A73" s="11">
        <v>113</v>
      </c>
      <c r="B73" s="8" t="s">
        <v>256</v>
      </c>
      <c r="C73" s="101">
        <v>217</v>
      </c>
      <c r="D73" s="170" t="s">
        <v>999</v>
      </c>
      <c r="E73" s="80">
        <v>102.5</v>
      </c>
      <c r="F73" s="80" t="s">
        <v>556</v>
      </c>
      <c r="G73" s="80" t="s">
        <v>930</v>
      </c>
      <c r="H73" s="80" t="s">
        <v>931</v>
      </c>
      <c r="I73" s="80" t="s">
        <v>76</v>
      </c>
      <c r="J73" s="80" t="s">
        <v>567</v>
      </c>
      <c r="K73" s="220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5" customHeight="1">
      <c r="A74" s="11">
        <v>113</v>
      </c>
      <c r="B74" s="8" t="s">
        <v>256</v>
      </c>
      <c r="C74" s="101">
        <v>218</v>
      </c>
      <c r="D74" s="170" t="s">
        <v>1000</v>
      </c>
      <c r="E74" s="80">
        <v>12.9</v>
      </c>
      <c r="F74" s="80" t="s">
        <v>76</v>
      </c>
      <c r="G74" s="80" t="s">
        <v>76</v>
      </c>
      <c r="H74" s="80" t="s">
        <v>76</v>
      </c>
      <c r="I74" s="80" t="s">
        <v>76</v>
      </c>
      <c r="J74" s="80" t="s">
        <v>76</v>
      </c>
      <c r="K74" s="220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5" customHeight="1">
      <c r="A75" s="11">
        <v>113</v>
      </c>
      <c r="B75" s="8" t="s">
        <v>256</v>
      </c>
      <c r="C75" s="101">
        <v>219</v>
      </c>
      <c r="D75" s="170" t="s">
        <v>952</v>
      </c>
      <c r="E75" s="80">
        <v>9.9</v>
      </c>
      <c r="F75" s="80" t="s">
        <v>76</v>
      </c>
      <c r="G75" s="80" t="s">
        <v>76</v>
      </c>
      <c r="H75" s="80" t="s">
        <v>76</v>
      </c>
      <c r="I75" s="80" t="s">
        <v>76</v>
      </c>
      <c r="J75" s="80" t="s">
        <v>76</v>
      </c>
      <c r="K75" s="220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5" customHeight="1">
      <c r="A76" s="11">
        <v>113</v>
      </c>
      <c r="B76" s="8" t="s">
        <v>256</v>
      </c>
      <c r="C76" s="101">
        <v>220</v>
      </c>
      <c r="D76" s="170" t="s">
        <v>1001</v>
      </c>
      <c r="E76" s="80">
        <v>23.4</v>
      </c>
      <c r="F76" s="80" t="s">
        <v>554</v>
      </c>
      <c r="G76" s="80" t="s">
        <v>930</v>
      </c>
      <c r="H76" s="80" t="s">
        <v>931</v>
      </c>
      <c r="I76" s="80">
        <v>2900</v>
      </c>
      <c r="J76" s="80" t="s">
        <v>566</v>
      </c>
      <c r="K76" s="220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5" customHeight="1">
      <c r="A77" s="11">
        <v>113</v>
      </c>
      <c r="B77" s="8" t="s">
        <v>256</v>
      </c>
      <c r="C77" s="101">
        <v>221</v>
      </c>
      <c r="D77" s="170" t="s">
        <v>1002</v>
      </c>
      <c r="E77" s="80">
        <v>280.10000000000002</v>
      </c>
      <c r="F77" s="80" t="s">
        <v>554</v>
      </c>
      <c r="G77" s="80" t="s">
        <v>930</v>
      </c>
      <c r="H77" s="80" t="s">
        <v>218</v>
      </c>
      <c r="I77" s="80">
        <v>2900</v>
      </c>
      <c r="J77" s="80" t="s">
        <v>566</v>
      </c>
      <c r="K77" s="220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5" customHeight="1">
      <c r="A78" s="11">
        <v>113</v>
      </c>
      <c r="B78" s="8" t="s">
        <v>256</v>
      </c>
      <c r="C78" s="101">
        <v>222</v>
      </c>
      <c r="D78" s="170" t="s">
        <v>1003</v>
      </c>
      <c r="E78" s="80">
        <v>298.10000000000002</v>
      </c>
      <c r="F78" s="80" t="s">
        <v>554</v>
      </c>
      <c r="G78" s="80" t="s">
        <v>930</v>
      </c>
      <c r="H78" s="80" t="s">
        <v>218</v>
      </c>
      <c r="I78" s="80">
        <v>2900</v>
      </c>
      <c r="J78" s="80" t="s">
        <v>566</v>
      </c>
      <c r="K78" s="220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5" customHeight="1">
      <c r="A79" s="11">
        <v>113</v>
      </c>
      <c r="B79" s="8" t="s">
        <v>256</v>
      </c>
      <c r="C79" s="101">
        <v>223</v>
      </c>
      <c r="D79" s="170" t="s">
        <v>999</v>
      </c>
      <c r="E79" s="80">
        <v>64</v>
      </c>
      <c r="F79" s="80" t="s">
        <v>554</v>
      </c>
      <c r="G79" s="80" t="s">
        <v>930</v>
      </c>
      <c r="H79" s="80" t="s">
        <v>218</v>
      </c>
      <c r="I79" s="80">
        <v>2900</v>
      </c>
      <c r="J79" s="80" t="s">
        <v>566</v>
      </c>
      <c r="K79" s="220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5" customHeight="1">
      <c r="A80" s="11">
        <v>113</v>
      </c>
      <c r="B80" s="8" t="s">
        <v>256</v>
      </c>
      <c r="C80" s="101">
        <v>225</v>
      </c>
      <c r="D80" s="170" t="s">
        <v>1004</v>
      </c>
      <c r="E80" s="80">
        <v>58.2</v>
      </c>
      <c r="F80" s="80" t="s">
        <v>554</v>
      </c>
      <c r="G80" s="80" t="s">
        <v>930</v>
      </c>
      <c r="H80" s="80" t="s">
        <v>218</v>
      </c>
      <c r="I80" s="80">
        <v>2900</v>
      </c>
      <c r="J80" s="80" t="s">
        <v>566</v>
      </c>
      <c r="K80" s="220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5" customHeight="1">
      <c r="A81" s="11">
        <v>113</v>
      </c>
      <c r="B81" s="8" t="s">
        <v>256</v>
      </c>
      <c r="C81" s="101">
        <v>226</v>
      </c>
      <c r="D81" s="170" t="s">
        <v>999</v>
      </c>
      <c r="E81" s="80">
        <v>62.4</v>
      </c>
      <c r="F81" s="80" t="s">
        <v>556</v>
      </c>
      <c r="G81" s="80" t="s">
        <v>930</v>
      </c>
      <c r="H81" s="80" t="s">
        <v>218</v>
      </c>
      <c r="I81" s="80" t="s">
        <v>76</v>
      </c>
      <c r="J81" s="80" t="s">
        <v>567</v>
      </c>
      <c r="K81" s="220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5" customHeight="1">
      <c r="A82" s="11">
        <v>113</v>
      </c>
      <c r="B82" s="8" t="s">
        <v>256</v>
      </c>
      <c r="C82" s="101">
        <v>227</v>
      </c>
      <c r="D82" s="170" t="s">
        <v>1066</v>
      </c>
      <c r="E82" s="80">
        <v>8.6999999999999993</v>
      </c>
      <c r="F82" s="80" t="s">
        <v>76</v>
      </c>
      <c r="G82" s="80" t="s">
        <v>76</v>
      </c>
      <c r="H82" s="80" t="s">
        <v>76</v>
      </c>
      <c r="I82" s="80" t="s">
        <v>76</v>
      </c>
      <c r="J82" s="80" t="s">
        <v>76</v>
      </c>
      <c r="K82" s="220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5" customHeight="1">
      <c r="A83" s="11">
        <v>113</v>
      </c>
      <c r="B83" s="8" t="s">
        <v>256</v>
      </c>
      <c r="C83" s="101">
        <v>228</v>
      </c>
      <c r="D83" s="170" t="s">
        <v>1299</v>
      </c>
      <c r="E83" s="80"/>
      <c r="F83" s="80"/>
      <c r="G83" s="80"/>
      <c r="H83" s="80"/>
      <c r="I83" s="80"/>
      <c r="J83" s="80"/>
      <c r="K83" s="220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5" customHeight="1">
      <c r="A84" s="11">
        <v>113</v>
      </c>
      <c r="B84" s="8" t="s">
        <v>256</v>
      </c>
      <c r="C84" s="101">
        <v>229</v>
      </c>
      <c r="D84" s="170" t="s">
        <v>1005</v>
      </c>
      <c r="E84" s="80">
        <v>43.6</v>
      </c>
      <c r="F84" s="80" t="s">
        <v>554</v>
      </c>
      <c r="G84" s="80" t="s">
        <v>930</v>
      </c>
      <c r="H84" s="80" t="s">
        <v>218</v>
      </c>
      <c r="I84" s="80">
        <v>2900</v>
      </c>
      <c r="J84" s="80" t="s">
        <v>566</v>
      </c>
      <c r="K84" s="220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5" customHeight="1">
      <c r="A85" s="11">
        <v>113</v>
      </c>
      <c r="B85" s="8" t="s">
        <v>256</v>
      </c>
      <c r="C85" s="101">
        <v>230</v>
      </c>
      <c r="D85" s="170" t="s">
        <v>1149</v>
      </c>
      <c r="E85" s="80">
        <v>17.8</v>
      </c>
      <c r="F85" s="80" t="s">
        <v>76</v>
      </c>
      <c r="G85" s="80" t="s">
        <v>76</v>
      </c>
      <c r="H85" s="80" t="s">
        <v>76</v>
      </c>
      <c r="I85" s="80" t="s">
        <v>76</v>
      </c>
      <c r="J85" s="80" t="s">
        <v>76</v>
      </c>
      <c r="K85" s="220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5" customHeight="1">
      <c r="A86" s="11">
        <v>113</v>
      </c>
      <c r="B86" s="8" t="s">
        <v>256</v>
      </c>
      <c r="C86" s="101">
        <v>231</v>
      </c>
      <c r="D86" s="170" t="s">
        <v>1006</v>
      </c>
      <c r="E86" s="80">
        <v>10.6</v>
      </c>
      <c r="F86" s="80" t="s">
        <v>559</v>
      </c>
      <c r="G86" s="80" t="s">
        <v>930</v>
      </c>
      <c r="H86" s="80" t="s">
        <v>931</v>
      </c>
      <c r="I86" s="80" t="s">
        <v>76</v>
      </c>
      <c r="J86" s="80" t="s">
        <v>76</v>
      </c>
      <c r="K86" s="220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5" customHeight="1">
      <c r="A87" s="11">
        <v>113</v>
      </c>
      <c r="B87" s="8" t="s">
        <v>256</v>
      </c>
      <c r="C87" s="101">
        <v>232</v>
      </c>
      <c r="D87" s="170" t="s">
        <v>976</v>
      </c>
      <c r="E87" s="80">
        <v>10.6</v>
      </c>
      <c r="F87" s="80" t="s">
        <v>559</v>
      </c>
      <c r="G87" s="80" t="s">
        <v>930</v>
      </c>
      <c r="H87" s="80" t="s">
        <v>931</v>
      </c>
      <c r="I87" s="80" t="s">
        <v>76</v>
      </c>
      <c r="J87" s="80" t="s">
        <v>565</v>
      </c>
      <c r="K87" s="220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5" customHeight="1">
      <c r="A88" s="11">
        <v>113</v>
      </c>
      <c r="B88" s="8" t="s">
        <v>256</v>
      </c>
      <c r="C88" s="101">
        <v>233</v>
      </c>
      <c r="D88" s="170" t="s">
        <v>570</v>
      </c>
      <c r="E88" s="80">
        <v>92.3</v>
      </c>
      <c r="F88" s="80" t="s">
        <v>554</v>
      </c>
      <c r="G88" s="80" t="s">
        <v>930</v>
      </c>
      <c r="H88" s="80" t="s">
        <v>932</v>
      </c>
      <c r="I88" s="80">
        <v>2900</v>
      </c>
      <c r="J88" s="80" t="s">
        <v>566</v>
      </c>
      <c r="K88" s="220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5" customHeight="1">
      <c r="A89" s="11">
        <v>113</v>
      </c>
      <c r="B89" s="8" t="s">
        <v>256</v>
      </c>
      <c r="C89" s="101">
        <v>235</v>
      </c>
      <c r="D89" s="170" t="s">
        <v>1007</v>
      </c>
      <c r="E89" s="80">
        <v>6.8</v>
      </c>
      <c r="F89" s="80"/>
      <c r="G89" s="80"/>
      <c r="H89" s="80"/>
      <c r="I89" s="80"/>
      <c r="J89" s="80"/>
      <c r="K89" s="220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5" customHeight="1">
      <c r="A90" s="11">
        <v>113</v>
      </c>
      <c r="B90" s="8" t="s">
        <v>256</v>
      </c>
      <c r="C90" s="84">
        <v>236</v>
      </c>
      <c r="D90" s="170" t="s">
        <v>1008</v>
      </c>
      <c r="E90" s="80">
        <v>37.1</v>
      </c>
      <c r="F90" s="80"/>
      <c r="G90" s="80"/>
      <c r="H90" s="80"/>
      <c r="I90" s="80"/>
      <c r="J90" s="80"/>
      <c r="K90" s="220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5" customHeight="1">
      <c r="A91" s="11">
        <v>113</v>
      </c>
      <c r="B91" s="8" t="s">
        <v>256</v>
      </c>
      <c r="C91" s="101">
        <v>237</v>
      </c>
      <c r="D91" s="170" t="s">
        <v>1009</v>
      </c>
      <c r="E91" s="80">
        <v>18.2</v>
      </c>
      <c r="F91" s="80"/>
      <c r="G91" s="80"/>
      <c r="H91" s="80"/>
      <c r="I91" s="80"/>
      <c r="J91" s="80"/>
      <c r="K91" s="220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5" customHeight="1">
      <c r="A92" s="11">
        <v>113</v>
      </c>
      <c r="B92" s="8" t="s">
        <v>256</v>
      </c>
      <c r="C92" s="102">
        <v>239</v>
      </c>
      <c r="D92" s="170" t="s">
        <v>1010</v>
      </c>
      <c r="E92" s="80">
        <v>11.1</v>
      </c>
      <c r="F92" s="80" t="s">
        <v>156</v>
      </c>
      <c r="G92" s="80" t="s">
        <v>543</v>
      </c>
      <c r="H92" s="80" t="s">
        <v>1138</v>
      </c>
      <c r="I92" s="80">
        <v>2850</v>
      </c>
      <c r="J92" s="80" t="s">
        <v>1137</v>
      </c>
      <c r="K92" s="220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5" customHeight="1">
      <c r="A93" s="11">
        <v>113</v>
      </c>
      <c r="B93" s="8" t="s">
        <v>256</v>
      </c>
      <c r="C93" s="102">
        <v>250</v>
      </c>
      <c r="D93" s="170" t="s">
        <v>1011</v>
      </c>
      <c r="E93" s="80">
        <v>10.4</v>
      </c>
      <c r="F93" s="80"/>
      <c r="G93" s="80"/>
      <c r="H93" s="80"/>
      <c r="I93" s="80"/>
      <c r="J93" s="80"/>
      <c r="K93" s="220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5" customHeight="1">
      <c r="A94" s="11">
        <v>113</v>
      </c>
      <c r="B94" s="8" t="s">
        <v>256</v>
      </c>
      <c r="C94" s="102">
        <v>251</v>
      </c>
      <c r="D94" s="170" t="s">
        <v>1012</v>
      </c>
      <c r="E94" s="80">
        <v>19.5</v>
      </c>
      <c r="F94" s="80"/>
      <c r="G94" s="80"/>
      <c r="H94" s="80"/>
      <c r="I94" s="80"/>
      <c r="J94" s="80"/>
      <c r="K94" s="220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5" customHeight="1">
      <c r="A95" s="11">
        <v>113</v>
      </c>
      <c r="B95" s="8" t="s">
        <v>256</v>
      </c>
      <c r="C95" s="102">
        <v>252</v>
      </c>
      <c r="D95" s="170" t="s">
        <v>1013</v>
      </c>
      <c r="E95" s="80">
        <v>2.6</v>
      </c>
      <c r="F95" s="80"/>
      <c r="G95" s="80"/>
      <c r="H95" s="80"/>
      <c r="I95" s="80"/>
      <c r="J95" s="80"/>
      <c r="K95" s="220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5" customHeight="1">
      <c r="A96" s="11">
        <v>113</v>
      </c>
      <c r="B96" s="8" t="s">
        <v>256</v>
      </c>
      <c r="C96" s="103">
        <v>253</v>
      </c>
      <c r="D96" s="170" t="s">
        <v>1013</v>
      </c>
      <c r="E96" s="80">
        <v>2.5</v>
      </c>
      <c r="F96" s="80"/>
      <c r="G96" s="80"/>
      <c r="H96" s="80"/>
      <c r="I96" s="80"/>
      <c r="J96" s="80"/>
      <c r="K96" s="220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1" ht="15" customHeight="1">
      <c r="A97" s="11">
        <v>113</v>
      </c>
      <c r="B97" s="8" t="s">
        <v>256</v>
      </c>
      <c r="C97" s="101">
        <v>254</v>
      </c>
      <c r="D97" s="170" t="s">
        <v>999</v>
      </c>
      <c r="E97" s="80">
        <v>15</v>
      </c>
      <c r="F97" s="80" t="s">
        <v>554</v>
      </c>
      <c r="G97" s="80" t="s">
        <v>930</v>
      </c>
      <c r="H97" s="80" t="s">
        <v>933</v>
      </c>
      <c r="I97" s="80">
        <v>2900</v>
      </c>
      <c r="J97" s="80" t="s">
        <v>566</v>
      </c>
      <c r="K97" s="220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1" ht="15" customHeight="1" thickBot="1">
      <c r="A98" s="11">
        <v>113</v>
      </c>
      <c r="B98" s="8" t="s">
        <v>256</v>
      </c>
      <c r="C98" s="101">
        <v>255</v>
      </c>
      <c r="D98" s="170" t="s">
        <v>1014</v>
      </c>
      <c r="E98" s="80"/>
      <c r="F98" s="80" t="s">
        <v>554</v>
      </c>
      <c r="G98" s="80" t="s">
        <v>930</v>
      </c>
      <c r="H98" s="80" t="s">
        <v>933</v>
      </c>
      <c r="I98" s="80">
        <v>2900</v>
      </c>
      <c r="J98" s="80" t="s">
        <v>566</v>
      </c>
      <c r="K98" s="220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1" s="191" customFormat="1" ht="14.25" customHeight="1" thickBot="1">
      <c r="A99" s="179">
        <v>113</v>
      </c>
      <c r="B99" s="180" t="s">
        <v>256</v>
      </c>
      <c r="C99" s="181"/>
      <c r="D99" s="245" t="s">
        <v>935</v>
      </c>
      <c r="E99" s="221">
        <v>2512.1999999999998</v>
      </c>
      <c r="F99" s="222"/>
      <c r="G99" s="223"/>
      <c r="H99" s="223"/>
      <c r="I99" s="223"/>
      <c r="J99" s="223"/>
      <c r="K99" s="224"/>
      <c r="L99" s="186"/>
      <c r="M99" s="186"/>
      <c r="N99" s="186"/>
      <c r="O99" s="187"/>
      <c r="P99" s="187"/>
      <c r="Q99" s="187"/>
      <c r="R99" s="187"/>
      <c r="S99" s="188"/>
      <c r="T99" s="189"/>
      <c r="U99" s="190"/>
    </row>
    <row r="100" spans="1:21" ht="15" customHeight="1">
      <c r="A100" s="11">
        <v>113</v>
      </c>
      <c r="B100" s="8" t="s">
        <v>1065</v>
      </c>
      <c r="C100" s="98" t="s">
        <v>601</v>
      </c>
      <c r="D100" s="170" t="s">
        <v>1015</v>
      </c>
      <c r="E100" s="80">
        <v>16.2</v>
      </c>
      <c r="F100" s="80" t="s">
        <v>928</v>
      </c>
      <c r="G100" s="80" t="s">
        <v>543</v>
      </c>
      <c r="H100" s="80" t="s">
        <v>544</v>
      </c>
      <c r="I100" s="80" t="s">
        <v>76</v>
      </c>
      <c r="J100" s="80" t="s">
        <v>186</v>
      </c>
      <c r="K100" s="220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1" ht="15" customHeight="1">
      <c r="A101" s="11">
        <v>113</v>
      </c>
      <c r="B101" s="8" t="s">
        <v>42</v>
      </c>
      <c r="C101" s="99" t="s">
        <v>602</v>
      </c>
      <c r="D101" s="170" t="s">
        <v>1068</v>
      </c>
      <c r="E101" s="80">
        <v>288.5</v>
      </c>
      <c r="F101" s="80" t="s">
        <v>554</v>
      </c>
      <c r="G101" s="80" t="s">
        <v>543</v>
      </c>
      <c r="H101" s="80" t="s">
        <v>561</v>
      </c>
      <c r="I101" s="80">
        <v>2850</v>
      </c>
      <c r="J101" s="80" t="s">
        <v>190</v>
      </c>
      <c r="K101" s="220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1" ht="15" customHeight="1">
      <c r="A102" s="11">
        <v>113</v>
      </c>
      <c r="B102" s="8" t="s">
        <v>1065</v>
      </c>
      <c r="C102" s="104" t="s">
        <v>603</v>
      </c>
      <c r="D102" s="170" t="s">
        <v>1016</v>
      </c>
      <c r="E102" s="80">
        <v>3.2</v>
      </c>
      <c r="F102" s="80" t="s">
        <v>554</v>
      </c>
      <c r="G102" s="80" t="s">
        <v>543</v>
      </c>
      <c r="H102" s="80" t="s">
        <v>951</v>
      </c>
      <c r="I102" s="80">
        <v>2850</v>
      </c>
      <c r="J102" s="80" t="s">
        <v>190</v>
      </c>
      <c r="K102" s="220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1" ht="15" customHeight="1">
      <c r="A103" s="11">
        <v>113</v>
      </c>
      <c r="B103" s="8" t="s">
        <v>42</v>
      </c>
      <c r="C103" s="105" t="s">
        <v>604</v>
      </c>
      <c r="D103" s="170" t="s">
        <v>612</v>
      </c>
      <c r="E103" s="80">
        <v>149.6</v>
      </c>
      <c r="F103" s="80" t="s">
        <v>1136</v>
      </c>
      <c r="G103" s="80" t="s">
        <v>543</v>
      </c>
      <c r="H103" s="80" t="s">
        <v>1138</v>
      </c>
      <c r="I103" s="80">
        <v>2850</v>
      </c>
      <c r="J103" s="80" t="s">
        <v>1137</v>
      </c>
      <c r="K103" s="220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1" ht="15" customHeight="1">
      <c r="A104" s="11">
        <v>113</v>
      </c>
      <c r="B104" s="8" t="s">
        <v>42</v>
      </c>
      <c r="C104" s="106" t="s">
        <v>605</v>
      </c>
      <c r="D104" s="170" t="s">
        <v>1017</v>
      </c>
      <c r="E104" s="80">
        <v>16.5</v>
      </c>
      <c r="F104" s="80" t="s">
        <v>1139</v>
      </c>
      <c r="G104" s="80" t="s">
        <v>543</v>
      </c>
      <c r="H104" s="80" t="s">
        <v>1138</v>
      </c>
      <c r="I104" s="80">
        <v>2850</v>
      </c>
      <c r="J104" s="80" t="s">
        <v>1137</v>
      </c>
      <c r="K104" s="220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1" ht="18" customHeight="1">
      <c r="A105" s="11">
        <v>113</v>
      </c>
      <c r="B105" s="8" t="s">
        <v>42</v>
      </c>
      <c r="C105" s="196" t="s">
        <v>606</v>
      </c>
      <c r="D105" s="197" t="s">
        <v>1018</v>
      </c>
      <c r="E105" s="80">
        <v>106.3</v>
      </c>
      <c r="F105" s="80" t="s">
        <v>156</v>
      </c>
      <c r="G105" s="80" t="s">
        <v>930</v>
      </c>
      <c r="H105" s="80" t="s">
        <v>1138</v>
      </c>
      <c r="I105" s="80">
        <v>2850</v>
      </c>
      <c r="J105" s="80" t="s">
        <v>1137</v>
      </c>
      <c r="K105" s="220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1" ht="15" customHeight="1">
      <c r="A106" s="11">
        <v>113</v>
      </c>
      <c r="B106" s="8" t="s">
        <v>42</v>
      </c>
      <c r="C106" s="106" t="s">
        <v>607</v>
      </c>
      <c r="D106" s="170" t="s">
        <v>1072</v>
      </c>
      <c r="E106" s="80">
        <v>42.2</v>
      </c>
      <c r="F106" s="80" t="s">
        <v>156</v>
      </c>
      <c r="G106" s="80" t="s">
        <v>543</v>
      </c>
      <c r="H106" s="80" t="s">
        <v>1138</v>
      </c>
      <c r="I106" s="80">
        <v>2850</v>
      </c>
      <c r="J106" s="80" t="s">
        <v>1137</v>
      </c>
      <c r="K106" s="220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1" ht="15" customHeight="1">
      <c r="A107" s="11">
        <v>113</v>
      </c>
      <c r="B107" s="8" t="s">
        <v>42</v>
      </c>
      <c r="C107" s="106" t="s">
        <v>608</v>
      </c>
      <c r="D107" s="170" t="s">
        <v>1064</v>
      </c>
      <c r="E107" s="80">
        <v>127.2</v>
      </c>
      <c r="F107" s="80" t="s">
        <v>156</v>
      </c>
      <c r="G107" s="80" t="s">
        <v>543</v>
      </c>
      <c r="H107" s="80" t="s">
        <v>1138</v>
      </c>
      <c r="I107" s="80">
        <v>2850</v>
      </c>
      <c r="J107" s="80" t="s">
        <v>1137</v>
      </c>
      <c r="K107" s="220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1" ht="15" customHeight="1">
      <c r="A108" s="11">
        <v>113</v>
      </c>
      <c r="B108" s="8" t="s">
        <v>42</v>
      </c>
      <c r="C108" s="106" t="s">
        <v>613</v>
      </c>
      <c r="D108" s="170" t="s">
        <v>1064</v>
      </c>
      <c r="E108" s="80">
        <v>77.3</v>
      </c>
      <c r="F108" s="80" t="s">
        <v>156</v>
      </c>
      <c r="G108" s="80" t="s">
        <v>543</v>
      </c>
      <c r="H108" s="80" t="s">
        <v>1138</v>
      </c>
      <c r="I108" s="80">
        <v>2850</v>
      </c>
      <c r="J108" s="80" t="s">
        <v>1137</v>
      </c>
      <c r="K108" s="220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1" ht="15" customHeight="1">
      <c r="A109" s="11">
        <v>113</v>
      </c>
      <c r="B109" s="8" t="s">
        <v>42</v>
      </c>
      <c r="C109" s="106" t="s">
        <v>609</v>
      </c>
      <c r="D109" s="170" t="s">
        <v>1019</v>
      </c>
      <c r="E109" s="80">
        <v>79</v>
      </c>
      <c r="F109" s="80" t="s">
        <v>156</v>
      </c>
      <c r="G109" s="80" t="s">
        <v>543</v>
      </c>
      <c r="H109" s="80" t="s">
        <v>1138</v>
      </c>
      <c r="I109" s="80">
        <v>2850</v>
      </c>
      <c r="J109" s="80" t="s">
        <v>1137</v>
      </c>
      <c r="K109" s="220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1" ht="15" customHeight="1">
      <c r="A110" s="11">
        <v>113</v>
      </c>
      <c r="B110" s="8" t="s">
        <v>42</v>
      </c>
      <c r="C110" s="106" t="s">
        <v>372</v>
      </c>
      <c r="D110" s="170" t="s">
        <v>1068</v>
      </c>
      <c r="E110" s="80">
        <v>79</v>
      </c>
      <c r="F110" s="80" t="s">
        <v>279</v>
      </c>
      <c r="G110" s="80" t="s">
        <v>543</v>
      </c>
      <c r="H110" s="80" t="s">
        <v>561</v>
      </c>
      <c r="I110" s="80" t="s">
        <v>76</v>
      </c>
      <c r="J110" s="80" t="s">
        <v>1137</v>
      </c>
      <c r="K110" s="220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1" ht="15" customHeight="1">
      <c r="A111" s="11">
        <v>113</v>
      </c>
      <c r="B111" s="8" t="s">
        <v>42</v>
      </c>
      <c r="C111" s="106" t="s">
        <v>610</v>
      </c>
      <c r="D111" s="170" t="s">
        <v>991</v>
      </c>
      <c r="E111" s="80">
        <v>16.2</v>
      </c>
      <c r="F111" s="80" t="s">
        <v>925</v>
      </c>
      <c r="G111" s="80" t="s">
        <v>543</v>
      </c>
      <c r="H111" s="80" t="s">
        <v>544</v>
      </c>
      <c r="I111" s="80">
        <v>2850</v>
      </c>
      <c r="J111" s="80" t="s">
        <v>1137</v>
      </c>
      <c r="K111" s="220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1" ht="15" customHeight="1">
      <c r="A112" s="11">
        <v>113</v>
      </c>
      <c r="B112" s="8" t="s">
        <v>42</v>
      </c>
      <c r="C112" s="106" t="s">
        <v>611</v>
      </c>
      <c r="D112" s="170" t="s">
        <v>1300</v>
      </c>
      <c r="E112" s="80">
        <v>148.19999999999999</v>
      </c>
      <c r="F112" s="80" t="s">
        <v>156</v>
      </c>
      <c r="G112" s="80" t="s">
        <v>543</v>
      </c>
      <c r="H112" s="80" t="s">
        <v>1138</v>
      </c>
      <c r="I112" s="80">
        <v>2850</v>
      </c>
      <c r="J112" s="80" t="s">
        <v>1137</v>
      </c>
      <c r="K112" s="220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5" customHeight="1">
      <c r="A113" s="11">
        <v>113</v>
      </c>
      <c r="B113" s="8" t="s">
        <v>42</v>
      </c>
      <c r="C113" s="84">
        <v>356</v>
      </c>
      <c r="D113" s="170" t="s">
        <v>612</v>
      </c>
      <c r="E113" s="80">
        <v>4</v>
      </c>
      <c r="F113" s="80" t="s">
        <v>156</v>
      </c>
      <c r="G113" s="80" t="s">
        <v>543</v>
      </c>
      <c r="H113" s="80" t="s">
        <v>1138</v>
      </c>
      <c r="I113" s="80">
        <v>2850</v>
      </c>
      <c r="J113" s="80" t="s">
        <v>1137</v>
      </c>
      <c r="K113" s="220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5" customHeight="1">
      <c r="A114" s="11">
        <v>113</v>
      </c>
      <c r="B114" s="8" t="s">
        <v>42</v>
      </c>
      <c r="C114" s="84">
        <v>314</v>
      </c>
      <c r="D114" s="170" t="s">
        <v>1399</v>
      </c>
      <c r="E114" s="80"/>
      <c r="F114" s="80"/>
      <c r="G114" s="80"/>
      <c r="H114" s="80"/>
      <c r="I114" s="80"/>
      <c r="J114" s="80"/>
      <c r="K114" s="220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5" customHeight="1">
      <c r="A115" s="11">
        <v>113</v>
      </c>
      <c r="B115" s="8" t="s">
        <v>42</v>
      </c>
      <c r="C115" s="84">
        <v>315</v>
      </c>
      <c r="D115" s="170" t="s">
        <v>1020</v>
      </c>
      <c r="E115" s="80">
        <v>288.10000000000002</v>
      </c>
      <c r="F115" s="80" t="s">
        <v>156</v>
      </c>
      <c r="G115" s="80" t="s">
        <v>543</v>
      </c>
      <c r="H115" s="80" t="s">
        <v>1138</v>
      </c>
      <c r="I115" s="80">
        <v>2850</v>
      </c>
      <c r="J115" s="80" t="s">
        <v>1137</v>
      </c>
      <c r="K115" s="220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5" customHeight="1">
      <c r="A116" s="11">
        <v>113</v>
      </c>
      <c r="B116" s="8" t="s">
        <v>42</v>
      </c>
      <c r="C116" s="98" t="s">
        <v>614</v>
      </c>
      <c r="D116" s="170" t="s">
        <v>615</v>
      </c>
      <c r="E116" s="80">
        <v>16.3</v>
      </c>
      <c r="F116" s="80" t="s">
        <v>156</v>
      </c>
      <c r="G116" s="80" t="s">
        <v>930</v>
      </c>
      <c r="H116" s="80" t="s">
        <v>1138</v>
      </c>
      <c r="I116" s="80">
        <v>2900</v>
      </c>
      <c r="J116" s="80" t="s">
        <v>1140</v>
      </c>
      <c r="K116" s="220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5" customHeight="1">
      <c r="A117" s="11">
        <v>113</v>
      </c>
      <c r="B117" s="8" t="s">
        <v>42</v>
      </c>
      <c r="C117" s="98" t="s">
        <v>616</v>
      </c>
      <c r="D117" s="170" t="s">
        <v>1021</v>
      </c>
      <c r="E117" s="80">
        <v>11.6</v>
      </c>
      <c r="F117" s="80" t="s">
        <v>156</v>
      </c>
      <c r="G117" s="80" t="s">
        <v>930</v>
      </c>
      <c r="H117" s="80" t="s">
        <v>1138</v>
      </c>
      <c r="I117" s="80">
        <v>2850</v>
      </c>
      <c r="J117" s="80" t="s">
        <v>1140</v>
      </c>
      <c r="K117" s="220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5" customHeight="1">
      <c r="A118" s="11">
        <v>113</v>
      </c>
      <c r="B118" s="8" t="s">
        <v>42</v>
      </c>
      <c r="C118" s="106" t="s">
        <v>617</v>
      </c>
      <c r="D118" s="170" t="s">
        <v>1022</v>
      </c>
      <c r="E118" s="80">
        <v>42.2</v>
      </c>
      <c r="F118" s="80" t="s">
        <v>156</v>
      </c>
      <c r="G118" s="80" t="s">
        <v>930</v>
      </c>
      <c r="H118" s="80" t="s">
        <v>1138</v>
      </c>
      <c r="I118" s="80">
        <v>2850</v>
      </c>
      <c r="J118" s="80" t="s">
        <v>1140</v>
      </c>
      <c r="K118" s="220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5" customHeight="1">
      <c r="A119" s="11">
        <v>113</v>
      </c>
      <c r="B119" s="8" t="s">
        <v>42</v>
      </c>
      <c r="C119" s="106" t="s">
        <v>618</v>
      </c>
      <c r="D119" s="170" t="s">
        <v>1023</v>
      </c>
      <c r="E119" s="80">
        <v>25.9</v>
      </c>
      <c r="F119" s="80" t="s">
        <v>554</v>
      </c>
      <c r="G119" s="80" t="s">
        <v>930</v>
      </c>
      <c r="H119" s="80" t="s">
        <v>1138</v>
      </c>
      <c r="I119" s="80">
        <v>2850</v>
      </c>
      <c r="J119" s="80" t="s">
        <v>1140</v>
      </c>
      <c r="K119" s="220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5" customHeight="1">
      <c r="A120" s="11">
        <v>113</v>
      </c>
      <c r="B120" s="8" t="s">
        <v>42</v>
      </c>
      <c r="C120" s="106" t="s">
        <v>619</v>
      </c>
      <c r="D120" s="255" t="s">
        <v>1024</v>
      </c>
      <c r="E120" s="80">
        <v>250.9</v>
      </c>
      <c r="F120" s="80" t="s">
        <v>554</v>
      </c>
      <c r="G120" s="80" t="s">
        <v>930</v>
      </c>
      <c r="H120" s="80" t="s">
        <v>1138</v>
      </c>
      <c r="I120" s="80">
        <v>2850</v>
      </c>
      <c r="J120" s="80" t="s">
        <v>1140</v>
      </c>
      <c r="K120" s="220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5" customHeight="1">
      <c r="A121" s="11">
        <v>113</v>
      </c>
      <c r="B121" s="8" t="s">
        <v>42</v>
      </c>
      <c r="C121" s="106" t="s">
        <v>620</v>
      </c>
      <c r="D121" s="170" t="s">
        <v>1025</v>
      </c>
      <c r="E121" s="80">
        <v>12.9</v>
      </c>
      <c r="F121" s="80" t="s">
        <v>76</v>
      </c>
      <c r="G121" s="80" t="s">
        <v>76</v>
      </c>
      <c r="H121" s="80" t="s">
        <v>76</v>
      </c>
      <c r="I121" s="80" t="s">
        <v>76</v>
      </c>
      <c r="J121" s="80" t="s">
        <v>76</v>
      </c>
      <c r="K121" s="220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5" customHeight="1">
      <c r="A122" s="11">
        <v>113</v>
      </c>
      <c r="B122" s="8" t="s">
        <v>42</v>
      </c>
      <c r="C122" s="101">
        <v>322</v>
      </c>
      <c r="D122" s="170" t="s">
        <v>952</v>
      </c>
      <c r="E122" s="80">
        <v>9.9</v>
      </c>
      <c r="F122" s="80" t="s">
        <v>76</v>
      </c>
      <c r="G122" s="80" t="s">
        <v>76</v>
      </c>
      <c r="H122" s="80" t="s">
        <v>76</v>
      </c>
      <c r="I122" s="80" t="s">
        <v>76</v>
      </c>
      <c r="J122" s="80" t="s">
        <v>76</v>
      </c>
      <c r="K122" s="220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5" customHeight="1">
      <c r="A123" s="11">
        <v>113</v>
      </c>
      <c r="B123" s="8" t="s">
        <v>42</v>
      </c>
      <c r="C123" s="106" t="s">
        <v>622</v>
      </c>
      <c r="D123" s="170" t="s">
        <v>1026</v>
      </c>
      <c r="E123" s="80">
        <v>34</v>
      </c>
      <c r="F123" s="80" t="s">
        <v>1141</v>
      </c>
      <c r="G123" s="80" t="s">
        <v>930</v>
      </c>
      <c r="H123" s="80" t="s">
        <v>185</v>
      </c>
      <c r="I123" s="80">
        <v>2850</v>
      </c>
      <c r="J123" s="80" t="s">
        <v>1140</v>
      </c>
      <c r="K123" s="220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5" customHeight="1">
      <c r="A124" s="11">
        <v>113</v>
      </c>
      <c r="B124" s="8" t="s">
        <v>42</v>
      </c>
      <c r="C124" s="106" t="s">
        <v>623</v>
      </c>
      <c r="D124" s="170" t="s">
        <v>1027</v>
      </c>
      <c r="E124" s="80">
        <v>23.1</v>
      </c>
      <c r="F124" s="80" t="s">
        <v>1143</v>
      </c>
      <c r="G124" s="80" t="s">
        <v>930</v>
      </c>
      <c r="H124" s="80" t="s">
        <v>218</v>
      </c>
      <c r="I124" s="80">
        <v>2850</v>
      </c>
      <c r="J124" s="80" t="s">
        <v>1142</v>
      </c>
      <c r="K124" s="220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5" customHeight="1">
      <c r="A125" s="11">
        <v>113</v>
      </c>
      <c r="B125" s="8" t="s">
        <v>42</v>
      </c>
      <c r="C125" s="106" t="s">
        <v>624</v>
      </c>
      <c r="D125" s="170" t="s">
        <v>1028</v>
      </c>
      <c r="E125" s="80">
        <v>20.399999999999999</v>
      </c>
      <c r="F125" s="80" t="s">
        <v>1143</v>
      </c>
      <c r="G125" s="80" t="s">
        <v>930</v>
      </c>
      <c r="H125" s="80" t="s">
        <v>218</v>
      </c>
      <c r="I125" s="80">
        <v>2850</v>
      </c>
      <c r="J125" s="80" t="s">
        <v>567</v>
      </c>
      <c r="K125" s="220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5" customHeight="1">
      <c r="A126" s="11">
        <v>113</v>
      </c>
      <c r="B126" s="8" t="s">
        <v>42</v>
      </c>
      <c r="C126" s="106" t="s">
        <v>625</v>
      </c>
      <c r="D126" s="170" t="s">
        <v>1029</v>
      </c>
      <c r="E126" s="80">
        <v>19.7</v>
      </c>
      <c r="F126" s="80" t="s">
        <v>1143</v>
      </c>
      <c r="G126" s="80" t="s">
        <v>930</v>
      </c>
      <c r="H126" s="80" t="s">
        <v>548</v>
      </c>
      <c r="I126" s="80">
        <v>2850</v>
      </c>
      <c r="J126" s="80" t="s">
        <v>567</v>
      </c>
      <c r="K126" s="220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5" customHeight="1">
      <c r="A127" s="11">
        <v>113</v>
      </c>
      <c r="B127" s="8" t="s">
        <v>42</v>
      </c>
      <c r="C127" s="106" t="s">
        <v>626</v>
      </c>
      <c r="D127" s="170" t="s">
        <v>1030</v>
      </c>
      <c r="E127" s="225">
        <v>25</v>
      </c>
      <c r="F127" s="80" t="s">
        <v>326</v>
      </c>
      <c r="G127" s="80" t="s">
        <v>930</v>
      </c>
      <c r="H127" s="80" t="s">
        <v>561</v>
      </c>
      <c r="I127" s="80">
        <v>2850</v>
      </c>
      <c r="J127" s="80" t="s">
        <v>567</v>
      </c>
      <c r="K127" s="220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5" customHeight="1">
      <c r="A128" s="11">
        <v>113</v>
      </c>
      <c r="B128" s="8" t="s">
        <v>42</v>
      </c>
      <c r="C128" s="106" t="s">
        <v>627</v>
      </c>
      <c r="D128" s="170" t="s">
        <v>1031</v>
      </c>
      <c r="E128" s="80">
        <v>42.2</v>
      </c>
      <c r="F128" s="80" t="s">
        <v>326</v>
      </c>
      <c r="G128" s="80" t="s">
        <v>930</v>
      </c>
      <c r="H128" s="80" t="s">
        <v>561</v>
      </c>
      <c r="I128" s="80">
        <v>2850</v>
      </c>
      <c r="J128" s="80" t="s">
        <v>567</v>
      </c>
      <c r="K128" s="220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1" ht="15" customHeight="1">
      <c r="A129" s="11">
        <v>113</v>
      </c>
      <c r="B129" s="8" t="s">
        <v>42</v>
      </c>
      <c r="C129" s="106" t="s">
        <v>628</v>
      </c>
      <c r="D129" s="170" t="s">
        <v>1032</v>
      </c>
      <c r="E129" s="80">
        <v>10.6</v>
      </c>
      <c r="F129" s="80" t="s">
        <v>559</v>
      </c>
      <c r="G129" s="80" t="s">
        <v>930</v>
      </c>
      <c r="H129" s="80" t="s">
        <v>931</v>
      </c>
      <c r="I129" s="80" t="s">
        <v>76</v>
      </c>
      <c r="J129" s="80" t="s">
        <v>76</v>
      </c>
      <c r="K129" s="220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1" ht="15" customHeight="1">
      <c r="A130" s="11">
        <v>113</v>
      </c>
      <c r="B130" s="8" t="s">
        <v>42</v>
      </c>
      <c r="C130" s="106" t="s">
        <v>629</v>
      </c>
      <c r="D130" s="170" t="s">
        <v>1033</v>
      </c>
      <c r="E130" s="80">
        <v>10.6</v>
      </c>
      <c r="F130" s="80" t="s">
        <v>559</v>
      </c>
      <c r="G130" s="80" t="s">
        <v>930</v>
      </c>
      <c r="H130" s="80" t="s">
        <v>931</v>
      </c>
      <c r="I130" s="80" t="s">
        <v>76</v>
      </c>
      <c r="J130" s="80" t="s">
        <v>565</v>
      </c>
      <c r="K130" s="220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1" ht="15" customHeight="1">
      <c r="A131" s="11">
        <v>113</v>
      </c>
      <c r="B131" s="8" t="s">
        <v>42</v>
      </c>
      <c r="C131" s="106" t="s">
        <v>630</v>
      </c>
      <c r="D131" s="170" t="s">
        <v>1025</v>
      </c>
      <c r="E131" s="80">
        <v>17.8</v>
      </c>
      <c r="F131" s="80" t="s">
        <v>554</v>
      </c>
      <c r="G131" s="80" t="s">
        <v>930</v>
      </c>
      <c r="H131" s="80" t="s">
        <v>932</v>
      </c>
      <c r="I131" s="80">
        <v>2900</v>
      </c>
      <c r="J131" s="80" t="s">
        <v>566</v>
      </c>
      <c r="K131" s="220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1" ht="15" customHeight="1">
      <c r="A132" s="11">
        <v>113</v>
      </c>
      <c r="B132" s="8" t="s">
        <v>42</v>
      </c>
      <c r="C132" s="106" t="s">
        <v>631</v>
      </c>
      <c r="D132" s="170" t="s">
        <v>1034</v>
      </c>
      <c r="E132" s="80">
        <v>18</v>
      </c>
      <c r="F132" s="80" t="s">
        <v>925</v>
      </c>
      <c r="G132" s="80" t="s">
        <v>560</v>
      </c>
      <c r="H132" s="80" t="s">
        <v>185</v>
      </c>
      <c r="I132" s="80">
        <v>2700</v>
      </c>
      <c r="J132" s="80" t="s">
        <v>76</v>
      </c>
      <c r="K132" s="220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1" ht="15" customHeight="1">
      <c r="A133" s="11">
        <v>113</v>
      </c>
      <c r="B133" s="8" t="s">
        <v>42</v>
      </c>
      <c r="C133" s="106" t="s">
        <v>632</v>
      </c>
      <c r="D133" s="170" t="s">
        <v>1035</v>
      </c>
      <c r="E133" s="80">
        <v>3.8</v>
      </c>
      <c r="F133" s="80" t="s">
        <v>925</v>
      </c>
      <c r="G133" s="80" t="s">
        <v>1144</v>
      </c>
      <c r="H133" s="80" t="s">
        <v>185</v>
      </c>
      <c r="I133" s="80">
        <v>2700</v>
      </c>
      <c r="J133" s="80" t="s">
        <v>76</v>
      </c>
      <c r="K133" s="220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1" ht="15" customHeight="1">
      <c r="A134" s="11">
        <v>113</v>
      </c>
      <c r="B134" s="8" t="s">
        <v>42</v>
      </c>
      <c r="C134" s="106" t="s">
        <v>633</v>
      </c>
      <c r="D134" s="170" t="s">
        <v>1036</v>
      </c>
      <c r="E134" s="80">
        <v>17.600000000000001</v>
      </c>
      <c r="F134" s="80" t="s">
        <v>925</v>
      </c>
      <c r="G134" s="80" t="s">
        <v>1144</v>
      </c>
      <c r="H134" s="80" t="s">
        <v>185</v>
      </c>
      <c r="I134" s="80">
        <v>2700</v>
      </c>
      <c r="J134" s="80" t="s">
        <v>76</v>
      </c>
      <c r="K134" s="220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1" ht="15" customHeight="1">
      <c r="A135" s="11">
        <v>113</v>
      </c>
      <c r="B135" s="8" t="s">
        <v>42</v>
      </c>
      <c r="C135" s="106" t="s">
        <v>634</v>
      </c>
      <c r="D135" s="170" t="s">
        <v>1037</v>
      </c>
      <c r="E135" s="80">
        <v>10.199999999999999</v>
      </c>
      <c r="F135" s="80" t="s">
        <v>279</v>
      </c>
      <c r="G135" s="80" t="s">
        <v>173</v>
      </c>
      <c r="H135" s="80" t="s">
        <v>219</v>
      </c>
      <c r="I135" s="80" t="s">
        <v>76</v>
      </c>
      <c r="J135" s="80" t="s">
        <v>190</v>
      </c>
      <c r="K135" s="220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1" ht="15" customHeight="1">
      <c r="A136" s="11">
        <v>113</v>
      </c>
      <c r="B136" s="8" t="s">
        <v>42</v>
      </c>
      <c r="C136" s="106" t="s">
        <v>390</v>
      </c>
      <c r="D136" s="170" t="s">
        <v>1066</v>
      </c>
      <c r="E136" s="80">
        <v>9.9</v>
      </c>
      <c r="F136" s="80" t="s">
        <v>76</v>
      </c>
      <c r="G136" s="80" t="s">
        <v>76</v>
      </c>
      <c r="H136" s="80" t="s">
        <v>76</v>
      </c>
      <c r="I136" s="80" t="s">
        <v>76</v>
      </c>
      <c r="J136" s="80" t="s">
        <v>76</v>
      </c>
      <c r="K136" s="220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1" ht="15" customHeight="1">
      <c r="A137" s="11">
        <v>113</v>
      </c>
      <c r="B137" s="8" t="s">
        <v>42</v>
      </c>
      <c r="C137" s="106" t="s">
        <v>635</v>
      </c>
      <c r="D137" s="170" t="s">
        <v>1017</v>
      </c>
      <c r="E137" s="80">
        <v>39.200000000000003</v>
      </c>
      <c r="F137" s="80" t="s">
        <v>156</v>
      </c>
      <c r="G137" s="80" t="s">
        <v>173</v>
      </c>
      <c r="H137" s="80" t="s">
        <v>1145</v>
      </c>
      <c r="I137" s="80">
        <v>2850</v>
      </c>
      <c r="J137" s="80" t="s">
        <v>1137</v>
      </c>
      <c r="K137" s="220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1" ht="15" customHeight="1">
      <c r="A138" s="11">
        <v>113</v>
      </c>
      <c r="B138" s="8" t="s">
        <v>42</v>
      </c>
      <c r="C138" s="106" t="s">
        <v>636</v>
      </c>
      <c r="D138" s="170" t="s">
        <v>1038</v>
      </c>
      <c r="E138" s="80">
        <v>16.5</v>
      </c>
      <c r="F138" s="80" t="s">
        <v>156</v>
      </c>
      <c r="G138" s="80" t="s">
        <v>173</v>
      </c>
      <c r="H138" s="80" t="s">
        <v>1145</v>
      </c>
      <c r="I138" s="80">
        <v>2850</v>
      </c>
      <c r="J138" s="80" t="s">
        <v>1137</v>
      </c>
      <c r="K138" s="220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1" ht="15" customHeight="1">
      <c r="A139" s="11">
        <v>113</v>
      </c>
      <c r="B139" s="8" t="s">
        <v>42</v>
      </c>
      <c r="C139" s="106" t="s">
        <v>637</v>
      </c>
      <c r="D139" s="170" t="s">
        <v>1017</v>
      </c>
      <c r="E139" s="80">
        <v>20</v>
      </c>
      <c r="F139" s="80" t="s">
        <v>156</v>
      </c>
      <c r="G139" s="80" t="s">
        <v>173</v>
      </c>
      <c r="H139" s="80" t="s">
        <v>1145</v>
      </c>
      <c r="I139" s="80">
        <v>2850</v>
      </c>
      <c r="J139" s="80" t="s">
        <v>1137</v>
      </c>
      <c r="K139" s="220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1" ht="15" customHeight="1">
      <c r="A140" s="11">
        <v>113</v>
      </c>
      <c r="B140" s="8" t="s">
        <v>42</v>
      </c>
      <c r="C140" s="106" t="s">
        <v>638</v>
      </c>
      <c r="D140" s="170" t="s">
        <v>1017</v>
      </c>
      <c r="E140" s="80">
        <v>8.1</v>
      </c>
      <c r="F140" s="80" t="s">
        <v>156</v>
      </c>
      <c r="G140" s="80" t="s">
        <v>173</v>
      </c>
      <c r="H140" s="80" t="s">
        <v>1145</v>
      </c>
      <c r="I140" s="80">
        <v>2850</v>
      </c>
      <c r="J140" s="80" t="s">
        <v>1137</v>
      </c>
      <c r="K140" s="220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1" ht="15" customHeight="1">
      <c r="A141" s="11">
        <v>113</v>
      </c>
      <c r="B141" s="8" t="s">
        <v>42</v>
      </c>
      <c r="C141" s="106" t="s">
        <v>639</v>
      </c>
      <c r="D141" s="170" t="s">
        <v>1017</v>
      </c>
      <c r="E141" s="80">
        <v>8.1</v>
      </c>
      <c r="F141" s="80" t="s">
        <v>156</v>
      </c>
      <c r="G141" s="80" t="s">
        <v>930</v>
      </c>
      <c r="H141" s="80" t="s">
        <v>1145</v>
      </c>
      <c r="I141" s="80">
        <v>2850</v>
      </c>
      <c r="J141" s="80" t="s">
        <v>1137</v>
      </c>
      <c r="K141" s="220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1" ht="15" customHeight="1">
      <c r="A142" s="11">
        <v>113</v>
      </c>
      <c r="B142" s="8" t="s">
        <v>42</v>
      </c>
      <c r="C142" s="107" t="s">
        <v>640</v>
      </c>
      <c r="D142" s="170" t="s">
        <v>1039</v>
      </c>
      <c r="E142" s="80">
        <v>8.1</v>
      </c>
      <c r="F142" s="80" t="s">
        <v>156</v>
      </c>
      <c r="G142" s="80" t="s">
        <v>930</v>
      </c>
      <c r="H142" s="80" t="s">
        <v>1145</v>
      </c>
      <c r="I142" s="80">
        <v>2850</v>
      </c>
      <c r="J142" s="80" t="s">
        <v>1137</v>
      </c>
      <c r="K142" s="220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1" ht="15" customHeight="1" thickBot="1">
      <c r="A143" s="11">
        <v>113</v>
      </c>
      <c r="B143" s="8" t="s">
        <v>42</v>
      </c>
      <c r="C143" s="107" t="s">
        <v>407</v>
      </c>
      <c r="D143" s="170" t="s">
        <v>1067</v>
      </c>
      <c r="E143" s="80">
        <v>10.5</v>
      </c>
      <c r="F143" s="80" t="s">
        <v>156</v>
      </c>
      <c r="G143" s="80" t="s">
        <v>930</v>
      </c>
      <c r="H143" s="80" t="s">
        <v>1145</v>
      </c>
      <c r="I143" s="80">
        <v>2850</v>
      </c>
      <c r="J143" s="80" t="s">
        <v>1137</v>
      </c>
      <c r="K143" s="220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1" s="191" customFormat="1" ht="14.25" customHeight="1" thickBot="1">
      <c r="A144" s="179">
        <v>113</v>
      </c>
      <c r="B144" s="180" t="s">
        <v>42</v>
      </c>
      <c r="C144" s="181"/>
      <c r="D144" s="245" t="s">
        <v>935</v>
      </c>
      <c r="E144" s="221">
        <v>2408.4</v>
      </c>
      <c r="F144" s="222"/>
      <c r="G144" s="223"/>
      <c r="H144" s="223"/>
      <c r="I144" s="223"/>
      <c r="J144" s="223"/>
      <c r="K144" s="224"/>
      <c r="L144" s="186"/>
      <c r="M144" s="186"/>
      <c r="N144" s="186"/>
      <c r="O144" s="187"/>
      <c r="P144" s="187"/>
      <c r="Q144" s="187"/>
      <c r="R144" s="187"/>
      <c r="S144" s="188"/>
      <c r="T144" s="189"/>
      <c r="U144" s="190"/>
    </row>
    <row r="145" spans="1:20" ht="15" customHeight="1">
      <c r="A145" s="11">
        <v>113</v>
      </c>
      <c r="B145" s="8" t="s">
        <v>458</v>
      </c>
      <c r="C145" s="106" t="s">
        <v>641</v>
      </c>
      <c r="D145" s="170" t="s">
        <v>1015</v>
      </c>
      <c r="E145" s="80">
        <v>16.2</v>
      </c>
      <c r="F145" s="80" t="s">
        <v>928</v>
      </c>
      <c r="G145" s="80" t="s">
        <v>543</v>
      </c>
      <c r="H145" s="80" t="s">
        <v>544</v>
      </c>
      <c r="I145" s="80" t="s">
        <v>76</v>
      </c>
      <c r="J145" s="80" t="s">
        <v>186</v>
      </c>
      <c r="K145" s="220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5" customHeight="1">
      <c r="A146" s="11">
        <v>113</v>
      </c>
      <c r="B146" s="8" t="s">
        <v>458</v>
      </c>
      <c r="C146" s="106" t="s">
        <v>460</v>
      </c>
      <c r="D146" s="170" t="s">
        <v>1068</v>
      </c>
      <c r="E146" s="80">
        <v>238.3</v>
      </c>
      <c r="F146" s="80" t="s">
        <v>554</v>
      </c>
      <c r="G146" s="80" t="s">
        <v>543</v>
      </c>
      <c r="H146" s="80" t="s">
        <v>561</v>
      </c>
      <c r="I146" s="80">
        <v>2850</v>
      </c>
      <c r="J146" s="80" t="s">
        <v>190</v>
      </c>
      <c r="K146" s="220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5" customHeight="1">
      <c r="A147" s="11">
        <v>113</v>
      </c>
      <c r="B147" s="8" t="s">
        <v>458</v>
      </c>
      <c r="C147" s="106" t="s">
        <v>642</v>
      </c>
      <c r="D147" s="170" t="s">
        <v>1040</v>
      </c>
      <c r="E147" s="80">
        <v>162.18</v>
      </c>
      <c r="F147" s="80" t="s">
        <v>156</v>
      </c>
      <c r="G147" s="80" t="s">
        <v>1146</v>
      </c>
      <c r="H147" s="80" t="s">
        <v>1166</v>
      </c>
      <c r="I147" s="80">
        <v>2850</v>
      </c>
      <c r="J147" s="80" t="s">
        <v>132</v>
      </c>
      <c r="K147" s="220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5" customHeight="1">
      <c r="A148" s="11">
        <v>113</v>
      </c>
      <c r="B148" s="8" t="s">
        <v>458</v>
      </c>
      <c r="C148" s="106" t="s">
        <v>643</v>
      </c>
      <c r="D148" s="170" t="s">
        <v>1041</v>
      </c>
      <c r="E148" s="80">
        <v>159.4</v>
      </c>
      <c r="F148" s="80" t="s">
        <v>156</v>
      </c>
      <c r="G148" s="80" t="s">
        <v>1146</v>
      </c>
      <c r="H148" s="80" t="s">
        <v>1167</v>
      </c>
      <c r="I148" s="80">
        <v>2850</v>
      </c>
      <c r="J148" s="80" t="s">
        <v>132</v>
      </c>
      <c r="K148" s="220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5" customHeight="1">
      <c r="A149" s="11">
        <v>113</v>
      </c>
      <c r="B149" s="8" t="s">
        <v>458</v>
      </c>
      <c r="C149" s="106" t="s">
        <v>644</v>
      </c>
      <c r="D149" s="170" t="s">
        <v>1042</v>
      </c>
      <c r="E149" s="80">
        <v>10.7</v>
      </c>
      <c r="F149" s="80" t="s">
        <v>90</v>
      </c>
      <c r="G149" s="80" t="s">
        <v>930</v>
      </c>
      <c r="H149" s="80" t="s">
        <v>931</v>
      </c>
      <c r="I149" s="80" t="s">
        <v>76</v>
      </c>
      <c r="J149" s="80" t="s">
        <v>565</v>
      </c>
      <c r="K149" s="220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5" customHeight="1">
      <c r="A150" s="11">
        <v>113</v>
      </c>
      <c r="B150" s="8" t="s">
        <v>458</v>
      </c>
      <c r="C150" s="106" t="s">
        <v>645</v>
      </c>
      <c r="D150" s="170" t="s">
        <v>1032</v>
      </c>
      <c r="E150" s="80">
        <v>7.9</v>
      </c>
      <c r="F150" s="80" t="s">
        <v>559</v>
      </c>
      <c r="G150" s="80" t="s">
        <v>930</v>
      </c>
      <c r="H150" s="80" t="s">
        <v>931</v>
      </c>
      <c r="I150" s="80" t="s">
        <v>76</v>
      </c>
      <c r="J150" s="80" t="s">
        <v>103</v>
      </c>
      <c r="K150" s="220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5" customHeight="1">
      <c r="A151" s="11">
        <v>113</v>
      </c>
      <c r="B151" s="8" t="s">
        <v>458</v>
      </c>
      <c r="C151" s="106" t="s">
        <v>646</v>
      </c>
      <c r="D151" s="170" t="s">
        <v>1041</v>
      </c>
      <c r="E151" s="80">
        <v>151.80000000000001</v>
      </c>
      <c r="F151" s="80" t="s">
        <v>156</v>
      </c>
      <c r="G151" s="80" t="s">
        <v>1146</v>
      </c>
      <c r="H151" s="80" t="s">
        <v>1165</v>
      </c>
      <c r="I151" s="80">
        <v>2850</v>
      </c>
      <c r="J151" s="80" t="s">
        <v>132</v>
      </c>
      <c r="K151" s="220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5" customHeight="1">
      <c r="A152" s="11">
        <v>113</v>
      </c>
      <c r="B152" s="8" t="s">
        <v>458</v>
      </c>
      <c r="C152" s="106" t="s">
        <v>1073</v>
      </c>
      <c r="D152" s="170" t="s">
        <v>1074</v>
      </c>
      <c r="E152" s="80">
        <v>11.8</v>
      </c>
      <c r="F152" s="80" t="s">
        <v>156</v>
      </c>
      <c r="G152" s="80" t="s">
        <v>1147</v>
      </c>
      <c r="H152" s="80" t="s">
        <v>1148</v>
      </c>
      <c r="I152" s="80">
        <v>2850</v>
      </c>
      <c r="J152" s="80" t="s">
        <v>132</v>
      </c>
      <c r="K152" s="220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5" customHeight="1">
      <c r="A153" s="11">
        <v>113</v>
      </c>
      <c r="B153" s="8" t="s">
        <v>458</v>
      </c>
      <c r="C153" s="106" t="s">
        <v>647</v>
      </c>
      <c r="D153" s="170" t="s">
        <v>1043</v>
      </c>
      <c r="E153" s="80">
        <v>11.2</v>
      </c>
      <c r="F153" s="80" t="s">
        <v>1163</v>
      </c>
      <c r="G153" s="80" t="s">
        <v>1168</v>
      </c>
      <c r="H153" s="80" t="s">
        <v>1148</v>
      </c>
      <c r="I153" s="80">
        <v>2850</v>
      </c>
      <c r="J153" s="80" t="s">
        <v>1176</v>
      </c>
      <c r="K153" s="220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5" customHeight="1">
      <c r="A154" s="11">
        <v>113</v>
      </c>
      <c r="B154" s="8" t="s">
        <v>458</v>
      </c>
      <c r="C154" s="106" t="s">
        <v>648</v>
      </c>
      <c r="D154" s="170" t="s">
        <v>1044</v>
      </c>
      <c r="E154" s="80">
        <v>148.6</v>
      </c>
      <c r="F154" s="80" t="s">
        <v>1163</v>
      </c>
      <c r="G154" s="80" t="s">
        <v>1168</v>
      </c>
      <c r="H154" s="80" t="s">
        <v>1165</v>
      </c>
      <c r="I154" s="80">
        <v>2850</v>
      </c>
      <c r="J154" s="80" t="s">
        <v>1164</v>
      </c>
      <c r="K154" s="220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5" customHeight="1">
      <c r="A155" s="11">
        <v>113</v>
      </c>
      <c r="B155" s="8" t="s">
        <v>458</v>
      </c>
      <c r="C155" s="106" t="s">
        <v>649</v>
      </c>
      <c r="D155" s="255" t="s">
        <v>991</v>
      </c>
      <c r="E155" s="80">
        <v>16.2</v>
      </c>
      <c r="F155" s="80" t="s">
        <v>1169</v>
      </c>
      <c r="G155" s="80" t="s">
        <v>1170</v>
      </c>
      <c r="H155" s="80" t="s">
        <v>1171</v>
      </c>
      <c r="I155" s="80" t="s">
        <v>76</v>
      </c>
      <c r="J155" s="80" t="s">
        <v>1172</v>
      </c>
      <c r="K155" s="220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5" customHeight="1">
      <c r="A156" s="11">
        <v>113</v>
      </c>
      <c r="B156" s="8" t="s">
        <v>458</v>
      </c>
      <c r="C156" s="106" t="s">
        <v>650</v>
      </c>
      <c r="D156" s="170" t="s">
        <v>1294</v>
      </c>
      <c r="E156" s="80">
        <v>242.2</v>
      </c>
      <c r="F156" s="80" t="s">
        <v>1163</v>
      </c>
      <c r="G156" s="80" t="s">
        <v>1170</v>
      </c>
      <c r="H156" s="80" t="s">
        <v>1165</v>
      </c>
      <c r="I156" s="80">
        <v>2850</v>
      </c>
      <c r="J156" s="80" t="s">
        <v>1164</v>
      </c>
      <c r="K156" s="220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5" customHeight="1">
      <c r="A157" s="11">
        <v>113</v>
      </c>
      <c r="B157" s="8" t="s">
        <v>458</v>
      </c>
      <c r="C157" s="106" t="s">
        <v>651</v>
      </c>
      <c r="D157" s="170" t="s">
        <v>1045</v>
      </c>
      <c r="E157" s="80">
        <v>464</v>
      </c>
      <c r="F157" s="80" t="s">
        <v>1173</v>
      </c>
      <c r="G157" s="80" t="s">
        <v>1170</v>
      </c>
      <c r="H157" s="80" t="s">
        <v>1165</v>
      </c>
      <c r="I157" s="80">
        <v>2850</v>
      </c>
      <c r="J157" s="80" t="s">
        <v>1174</v>
      </c>
      <c r="K157" s="220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5" customHeight="1">
      <c r="A158" s="11">
        <v>113</v>
      </c>
      <c r="B158" s="8" t="s">
        <v>458</v>
      </c>
      <c r="C158" s="106" t="s">
        <v>652</v>
      </c>
      <c r="D158" s="170" t="s">
        <v>1046</v>
      </c>
      <c r="E158" s="80">
        <v>148.19999999999999</v>
      </c>
      <c r="F158" s="80" t="s">
        <v>1163</v>
      </c>
      <c r="G158" s="80" t="s">
        <v>1168</v>
      </c>
      <c r="H158" s="80" t="s">
        <v>1177</v>
      </c>
      <c r="I158" s="80">
        <v>2850</v>
      </c>
      <c r="J158" s="80" t="s">
        <v>1176</v>
      </c>
      <c r="K158" s="220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5" customHeight="1">
      <c r="A159" s="11">
        <v>113</v>
      </c>
      <c r="B159" s="8" t="s">
        <v>458</v>
      </c>
      <c r="C159" s="106" t="s">
        <v>653</v>
      </c>
      <c r="D159" s="170" t="s">
        <v>1047</v>
      </c>
      <c r="E159" s="80">
        <v>4</v>
      </c>
      <c r="F159" s="80" t="s">
        <v>1163</v>
      </c>
      <c r="G159" s="80" t="s">
        <v>1168</v>
      </c>
      <c r="H159" s="80" t="s">
        <v>1177</v>
      </c>
      <c r="I159" s="80">
        <v>2850</v>
      </c>
      <c r="J159" s="80" t="s">
        <v>1176</v>
      </c>
      <c r="K159" s="220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5" customHeight="1">
      <c r="A160" s="11">
        <v>113</v>
      </c>
      <c r="B160" s="8" t="s">
        <v>458</v>
      </c>
      <c r="C160" s="106" t="s">
        <v>654</v>
      </c>
      <c r="D160" s="170" t="s">
        <v>978</v>
      </c>
      <c r="E160" s="80">
        <v>12.9</v>
      </c>
      <c r="F160" s="80" t="s">
        <v>76</v>
      </c>
      <c r="G160" s="80" t="s">
        <v>76</v>
      </c>
      <c r="H160" s="80" t="s">
        <v>76</v>
      </c>
      <c r="I160" s="80" t="s">
        <v>76</v>
      </c>
      <c r="J160" s="80" t="s">
        <v>76</v>
      </c>
      <c r="K160" s="220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5" customHeight="1">
      <c r="A161" s="11">
        <v>113</v>
      </c>
      <c r="B161" s="8" t="s">
        <v>1069</v>
      </c>
      <c r="C161" s="101">
        <v>517</v>
      </c>
      <c r="D161" s="170" t="s">
        <v>952</v>
      </c>
      <c r="E161" s="80">
        <v>9.9</v>
      </c>
      <c r="F161" s="80" t="s">
        <v>76</v>
      </c>
      <c r="G161" s="80" t="s">
        <v>76</v>
      </c>
      <c r="H161" s="80" t="s">
        <v>76</v>
      </c>
      <c r="I161" s="80" t="s">
        <v>76</v>
      </c>
      <c r="J161" s="80" t="s">
        <v>76</v>
      </c>
      <c r="K161" s="220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5" customHeight="1">
      <c r="A162" s="11">
        <v>113</v>
      </c>
      <c r="B162" s="8" t="s">
        <v>458</v>
      </c>
      <c r="C162" s="106" t="s">
        <v>655</v>
      </c>
      <c r="D162" s="170" t="s">
        <v>1048</v>
      </c>
      <c r="E162" s="80">
        <v>104</v>
      </c>
      <c r="F162" s="80" t="s">
        <v>1178</v>
      </c>
      <c r="G162" s="80" t="s">
        <v>1179</v>
      </c>
      <c r="H162" s="80" t="s">
        <v>1180</v>
      </c>
      <c r="I162" s="80">
        <v>2900</v>
      </c>
      <c r="J162" s="80" t="s">
        <v>1174</v>
      </c>
      <c r="K162" s="220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5" customHeight="1">
      <c r="A163" s="11">
        <v>113</v>
      </c>
      <c r="B163" s="8" t="s">
        <v>458</v>
      </c>
      <c r="C163" s="106" t="s">
        <v>656</v>
      </c>
      <c r="D163" s="170" t="s">
        <v>978</v>
      </c>
      <c r="E163" s="80">
        <v>17.8</v>
      </c>
      <c r="F163" s="80" t="s">
        <v>76</v>
      </c>
      <c r="G163" s="80" t="s">
        <v>76</v>
      </c>
      <c r="H163" s="80" t="s">
        <v>76</v>
      </c>
      <c r="I163" s="80" t="s">
        <v>76</v>
      </c>
      <c r="J163" s="80" t="s">
        <v>76</v>
      </c>
      <c r="K163" s="220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5" customHeight="1">
      <c r="A164" s="11">
        <v>113</v>
      </c>
      <c r="B164" s="8" t="s">
        <v>458</v>
      </c>
      <c r="C164" s="106" t="s">
        <v>657</v>
      </c>
      <c r="D164" s="170" t="s">
        <v>1034</v>
      </c>
      <c r="E164" s="80">
        <v>18</v>
      </c>
      <c r="F164" s="80" t="s">
        <v>1169</v>
      </c>
      <c r="G164" s="80" t="s">
        <v>1181</v>
      </c>
      <c r="H164" s="80" t="s">
        <v>1182</v>
      </c>
      <c r="I164" s="80">
        <v>2700</v>
      </c>
      <c r="J164" s="80" t="s">
        <v>76</v>
      </c>
      <c r="K164" s="220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5" customHeight="1">
      <c r="A165" s="11">
        <v>113</v>
      </c>
      <c r="B165" s="8" t="s">
        <v>458</v>
      </c>
      <c r="C165" s="106" t="s">
        <v>658</v>
      </c>
      <c r="D165" s="170" t="s">
        <v>1035</v>
      </c>
      <c r="E165" s="80">
        <v>3.8</v>
      </c>
      <c r="F165" s="80" t="s">
        <v>1169</v>
      </c>
      <c r="G165" s="80" t="s">
        <v>1181</v>
      </c>
      <c r="H165" s="80" t="s">
        <v>1182</v>
      </c>
      <c r="I165" s="80">
        <v>2700</v>
      </c>
      <c r="J165" s="80" t="s">
        <v>76</v>
      </c>
      <c r="K165" s="220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5" customHeight="1">
      <c r="A166" s="11">
        <v>113</v>
      </c>
      <c r="B166" s="8" t="s">
        <v>458</v>
      </c>
      <c r="C166" s="106" t="s">
        <v>659</v>
      </c>
      <c r="D166" s="170" t="s">
        <v>1036</v>
      </c>
      <c r="E166" s="80">
        <v>17</v>
      </c>
      <c r="F166" s="80" t="s">
        <v>1169</v>
      </c>
      <c r="G166" s="80" t="s">
        <v>1181</v>
      </c>
      <c r="H166" s="80" t="s">
        <v>1182</v>
      </c>
      <c r="I166" s="80">
        <v>2700</v>
      </c>
      <c r="J166" s="80" t="s">
        <v>76</v>
      </c>
      <c r="K166" s="220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5" customHeight="1">
      <c r="A167" s="11">
        <v>113</v>
      </c>
      <c r="B167" s="8" t="s">
        <v>458</v>
      </c>
      <c r="C167" s="106" t="s">
        <v>660</v>
      </c>
      <c r="D167" s="255" t="s">
        <v>1402</v>
      </c>
      <c r="E167" s="80">
        <v>12.9</v>
      </c>
      <c r="F167" s="80" t="s">
        <v>1183</v>
      </c>
      <c r="G167" s="80" t="s">
        <v>1170</v>
      </c>
      <c r="H167" s="80" t="s">
        <v>1171</v>
      </c>
      <c r="I167" s="80" t="s">
        <v>76</v>
      </c>
      <c r="J167" s="80" t="s">
        <v>1184</v>
      </c>
      <c r="K167" s="220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5" customHeight="1">
      <c r="A168" s="11">
        <v>113</v>
      </c>
      <c r="B168" s="8" t="s">
        <v>1069</v>
      </c>
      <c r="C168" s="101">
        <v>525</v>
      </c>
      <c r="D168" s="170" t="s">
        <v>1066</v>
      </c>
      <c r="E168" s="80">
        <v>9.9</v>
      </c>
      <c r="F168" s="80" t="s">
        <v>76</v>
      </c>
      <c r="G168" s="80" t="s">
        <v>76</v>
      </c>
      <c r="H168" s="80" t="s">
        <v>76</v>
      </c>
      <c r="I168" s="80" t="s">
        <v>76</v>
      </c>
      <c r="J168" s="80" t="s">
        <v>76</v>
      </c>
      <c r="K168" s="220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5" customHeight="1">
      <c r="A169" s="11">
        <v>113</v>
      </c>
      <c r="B169" s="8" t="s">
        <v>458</v>
      </c>
      <c r="C169" s="106" t="s">
        <v>661</v>
      </c>
      <c r="D169" s="170" t="s">
        <v>1049</v>
      </c>
      <c r="E169" s="80">
        <v>21.2</v>
      </c>
      <c r="F169" s="80" t="s">
        <v>1163</v>
      </c>
      <c r="G169" s="80" t="s">
        <v>1168</v>
      </c>
      <c r="H169" s="80" t="s">
        <v>1177</v>
      </c>
      <c r="I169" s="80">
        <v>2850</v>
      </c>
      <c r="J169" s="80" t="s">
        <v>1176</v>
      </c>
      <c r="K169" s="220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5" customHeight="1">
      <c r="A170" s="11">
        <v>113</v>
      </c>
      <c r="B170" s="8" t="s">
        <v>458</v>
      </c>
      <c r="C170" s="106" t="s">
        <v>663</v>
      </c>
      <c r="D170" s="170" t="s">
        <v>1035</v>
      </c>
      <c r="E170" s="80">
        <v>6.21</v>
      </c>
      <c r="F170" s="80" t="s">
        <v>1163</v>
      </c>
      <c r="G170" s="80" t="s">
        <v>1168</v>
      </c>
      <c r="H170" s="80" t="s">
        <v>1148</v>
      </c>
      <c r="I170" s="80">
        <v>2850</v>
      </c>
      <c r="J170" s="80" t="s">
        <v>1176</v>
      </c>
      <c r="K170" s="220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5" customHeight="1">
      <c r="A171" s="11">
        <v>113</v>
      </c>
      <c r="B171" s="8" t="s">
        <v>458</v>
      </c>
      <c r="C171" s="106" t="s">
        <v>662</v>
      </c>
      <c r="D171" s="170" t="s">
        <v>1050</v>
      </c>
      <c r="E171" s="80">
        <v>7.5</v>
      </c>
      <c r="F171" s="80" t="s">
        <v>1163</v>
      </c>
      <c r="G171" s="80" t="s">
        <v>1168</v>
      </c>
      <c r="H171" s="80" t="s">
        <v>1148</v>
      </c>
      <c r="I171" s="80">
        <v>2850</v>
      </c>
      <c r="J171" s="80" t="s">
        <v>1176</v>
      </c>
      <c r="K171" s="220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5" customHeight="1">
      <c r="A172" s="11">
        <v>113</v>
      </c>
      <c r="B172" s="8" t="s">
        <v>458</v>
      </c>
      <c r="C172" s="106" t="s">
        <v>664</v>
      </c>
      <c r="D172" s="170" t="s">
        <v>1051</v>
      </c>
      <c r="E172" s="80">
        <v>13.8</v>
      </c>
      <c r="F172" s="80" t="s">
        <v>1163</v>
      </c>
      <c r="G172" s="80" t="s">
        <v>1168</v>
      </c>
      <c r="H172" s="80" t="s">
        <v>1148</v>
      </c>
      <c r="I172" s="80">
        <v>2850</v>
      </c>
      <c r="J172" s="80" t="s">
        <v>1176</v>
      </c>
      <c r="K172" s="220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5" customHeight="1">
      <c r="A173" s="11">
        <v>113</v>
      </c>
      <c r="B173" s="8" t="s">
        <v>458</v>
      </c>
      <c r="C173" s="106" t="s">
        <v>665</v>
      </c>
      <c r="D173" s="170" t="s">
        <v>1301</v>
      </c>
      <c r="E173" s="80">
        <v>7.03</v>
      </c>
      <c r="F173" s="80" t="s">
        <v>1163</v>
      </c>
      <c r="G173" s="80" t="s">
        <v>1168</v>
      </c>
      <c r="H173" s="80" t="s">
        <v>1148</v>
      </c>
      <c r="I173" s="80">
        <v>2850</v>
      </c>
      <c r="J173" s="80" t="s">
        <v>1176</v>
      </c>
      <c r="K173" s="220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5" customHeight="1">
      <c r="A174" s="11">
        <v>113</v>
      </c>
      <c r="B174" s="8" t="s">
        <v>458</v>
      </c>
      <c r="C174" s="106" t="s">
        <v>666</v>
      </c>
      <c r="D174" s="170" t="s">
        <v>1052</v>
      </c>
      <c r="E174" s="225">
        <v>18.54</v>
      </c>
      <c r="F174" s="80" t="s">
        <v>1163</v>
      </c>
      <c r="G174" s="80" t="s">
        <v>1168</v>
      </c>
      <c r="H174" s="80" t="s">
        <v>1148</v>
      </c>
      <c r="I174" s="80">
        <v>2850</v>
      </c>
      <c r="J174" s="80" t="s">
        <v>1176</v>
      </c>
      <c r="K174" s="220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5" customHeight="1">
      <c r="A175" s="11">
        <v>113</v>
      </c>
      <c r="B175" s="8" t="s">
        <v>458</v>
      </c>
      <c r="C175" s="106" t="s">
        <v>667</v>
      </c>
      <c r="D175" s="170" t="s">
        <v>1053</v>
      </c>
      <c r="E175" s="80">
        <v>16.170000000000002</v>
      </c>
      <c r="F175" s="80" t="s">
        <v>1178</v>
      </c>
      <c r="G175" s="80" t="s">
        <v>1179</v>
      </c>
      <c r="H175" s="80" t="s">
        <v>1180</v>
      </c>
      <c r="I175" s="80">
        <v>2900</v>
      </c>
      <c r="J175" s="80" t="s">
        <v>1174</v>
      </c>
      <c r="K175" s="220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5" customHeight="1">
      <c r="A176" s="284">
        <v>113</v>
      </c>
      <c r="B176" s="285" t="s">
        <v>1302</v>
      </c>
      <c r="C176" s="286" t="s">
        <v>668</v>
      </c>
      <c r="D176" s="287" t="s">
        <v>1303</v>
      </c>
      <c r="E176" s="288">
        <v>12.5</v>
      </c>
      <c r="F176" s="288" t="s">
        <v>1163</v>
      </c>
      <c r="G176" s="288" t="s">
        <v>1168</v>
      </c>
      <c r="H176" s="288" t="s">
        <v>1148</v>
      </c>
      <c r="I176" s="288" t="s">
        <v>76</v>
      </c>
      <c r="J176" s="288" t="s">
        <v>1176</v>
      </c>
      <c r="K176" s="283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1" ht="15" customHeight="1">
      <c r="A177" s="11">
        <v>113</v>
      </c>
      <c r="B177" s="8" t="s">
        <v>458</v>
      </c>
      <c r="C177" s="106" t="s">
        <v>669</v>
      </c>
      <c r="D177" s="170" t="s">
        <v>1054</v>
      </c>
      <c r="E177" s="80">
        <v>25.77</v>
      </c>
      <c r="F177" s="80" t="s">
        <v>1163</v>
      </c>
      <c r="G177" s="80" t="s">
        <v>1168</v>
      </c>
      <c r="H177" s="80" t="s">
        <v>1177</v>
      </c>
      <c r="I177" s="80">
        <v>2850</v>
      </c>
      <c r="J177" s="80" t="s">
        <v>1176</v>
      </c>
      <c r="K177" s="220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1" ht="15" customHeight="1">
      <c r="A178" s="11">
        <v>113</v>
      </c>
      <c r="B178" s="8" t="s">
        <v>458</v>
      </c>
      <c r="C178" s="107" t="s">
        <v>670</v>
      </c>
      <c r="D178" s="170" t="s">
        <v>1055</v>
      </c>
      <c r="E178" s="80">
        <v>7.9</v>
      </c>
      <c r="F178" s="80" t="s">
        <v>156</v>
      </c>
      <c r="G178" s="80" t="s">
        <v>1146</v>
      </c>
      <c r="H178" s="80" t="s">
        <v>1145</v>
      </c>
      <c r="I178" s="80">
        <v>2850</v>
      </c>
      <c r="J178" s="80" t="s">
        <v>132</v>
      </c>
      <c r="K178" s="220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1" ht="15" customHeight="1">
      <c r="A179" s="11">
        <v>113</v>
      </c>
      <c r="B179" s="8" t="s">
        <v>458</v>
      </c>
      <c r="C179" s="108" t="s">
        <v>671</v>
      </c>
      <c r="D179" s="170" t="s">
        <v>1056</v>
      </c>
      <c r="E179" s="80">
        <v>7.8</v>
      </c>
      <c r="F179" s="80" t="s">
        <v>156</v>
      </c>
      <c r="G179" s="80" t="s">
        <v>1146</v>
      </c>
      <c r="H179" s="80" t="s">
        <v>1145</v>
      </c>
      <c r="I179" s="80">
        <v>2850</v>
      </c>
      <c r="J179" s="80" t="s">
        <v>132</v>
      </c>
      <c r="K179" s="220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1" ht="15" customHeight="1">
      <c r="A180" s="11">
        <v>113</v>
      </c>
      <c r="B180" s="8" t="s">
        <v>458</v>
      </c>
      <c r="C180" s="108" t="s">
        <v>672</v>
      </c>
      <c r="D180" s="170" t="s">
        <v>1055</v>
      </c>
      <c r="E180" s="80">
        <v>27.2</v>
      </c>
      <c r="F180" s="80" t="s">
        <v>156</v>
      </c>
      <c r="G180" s="80" t="s">
        <v>1146</v>
      </c>
      <c r="H180" s="80" t="s">
        <v>1145</v>
      </c>
      <c r="I180" s="80">
        <v>2850</v>
      </c>
      <c r="J180" s="80" t="s">
        <v>132</v>
      </c>
      <c r="K180" s="220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1" ht="15" customHeight="1">
      <c r="A181" s="11">
        <v>113</v>
      </c>
      <c r="B181" s="8" t="s">
        <v>458</v>
      </c>
      <c r="C181" s="108" t="s">
        <v>673</v>
      </c>
      <c r="D181" s="170" t="s">
        <v>1055</v>
      </c>
      <c r="E181" s="80">
        <v>9.5</v>
      </c>
      <c r="F181" s="80" t="s">
        <v>156</v>
      </c>
      <c r="G181" s="80" t="s">
        <v>1146</v>
      </c>
      <c r="H181" s="80" t="s">
        <v>1145</v>
      </c>
      <c r="I181" s="80">
        <v>2850</v>
      </c>
      <c r="J181" s="80" t="s">
        <v>132</v>
      </c>
      <c r="K181" s="220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1" ht="15" customHeight="1">
      <c r="A182" s="11">
        <v>113</v>
      </c>
      <c r="B182" s="8" t="s">
        <v>458</v>
      </c>
      <c r="C182" s="105" t="s">
        <v>674</v>
      </c>
      <c r="D182" s="170" t="s">
        <v>1057</v>
      </c>
      <c r="E182" s="80">
        <v>8.6999999999999993</v>
      </c>
      <c r="F182" s="80" t="s">
        <v>156</v>
      </c>
      <c r="G182" s="80" t="s">
        <v>1146</v>
      </c>
      <c r="H182" s="80" t="s">
        <v>1148</v>
      </c>
      <c r="I182" s="80">
        <v>2850</v>
      </c>
      <c r="J182" s="80" t="s">
        <v>1137</v>
      </c>
      <c r="K182" s="220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1" ht="15" customHeight="1">
      <c r="A183" s="11">
        <v>113</v>
      </c>
      <c r="B183" s="8" t="s">
        <v>458</v>
      </c>
      <c r="C183" s="107" t="s">
        <v>675</v>
      </c>
      <c r="D183" s="170" t="s">
        <v>1058</v>
      </c>
      <c r="E183" s="80">
        <v>6.4</v>
      </c>
      <c r="F183" s="80" t="s">
        <v>156</v>
      </c>
      <c r="G183" s="80" t="s">
        <v>1146</v>
      </c>
      <c r="H183" s="80" t="s">
        <v>218</v>
      </c>
      <c r="I183" s="80">
        <v>2850</v>
      </c>
      <c r="J183" s="80" t="s">
        <v>132</v>
      </c>
      <c r="K183" s="220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1" ht="15" customHeight="1">
      <c r="A184" s="11">
        <v>113</v>
      </c>
      <c r="B184" s="8" t="s">
        <v>458</v>
      </c>
      <c r="C184" s="289" t="s">
        <v>1304</v>
      </c>
      <c r="D184" s="170" t="s">
        <v>1307</v>
      </c>
      <c r="E184" s="290"/>
      <c r="F184" s="290"/>
      <c r="G184" s="290"/>
      <c r="H184" s="290"/>
      <c r="I184" s="290"/>
      <c r="J184" s="290"/>
      <c r="K184" s="220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1" ht="15" customHeight="1">
      <c r="A185" s="11">
        <v>113</v>
      </c>
      <c r="B185" s="8" t="s">
        <v>458</v>
      </c>
      <c r="C185" s="289" t="s">
        <v>1305</v>
      </c>
      <c r="D185" s="170" t="s">
        <v>1308</v>
      </c>
      <c r="E185" s="290"/>
      <c r="F185" s="290"/>
      <c r="G185" s="290"/>
      <c r="H185" s="290"/>
      <c r="I185" s="290"/>
      <c r="J185" s="290"/>
      <c r="K185" s="220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1" ht="15" customHeight="1">
      <c r="A186" s="11">
        <v>113</v>
      </c>
      <c r="B186" s="8" t="s">
        <v>458</v>
      </c>
      <c r="C186" s="289" t="s">
        <v>1306</v>
      </c>
      <c r="D186" s="170" t="s">
        <v>1309</v>
      </c>
      <c r="E186" s="290"/>
      <c r="F186" s="290"/>
      <c r="G186" s="290"/>
      <c r="H186" s="290"/>
      <c r="I186" s="290"/>
      <c r="J186" s="290"/>
      <c r="K186" s="220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1" ht="15" customHeight="1" thickBot="1">
      <c r="A187" s="11">
        <v>113</v>
      </c>
      <c r="B187" s="8" t="s">
        <v>458</v>
      </c>
      <c r="C187" s="289" t="s">
        <v>1400</v>
      </c>
      <c r="D187" s="254" t="s">
        <v>1401</v>
      </c>
      <c r="E187" s="290"/>
      <c r="F187" s="290"/>
      <c r="G187" s="290"/>
      <c r="H187" s="290"/>
      <c r="I187" s="290"/>
      <c r="J187" s="290"/>
      <c r="K187" s="220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1" s="191" customFormat="1" ht="14.25" customHeight="1" thickBot="1">
      <c r="A188" s="179">
        <v>113</v>
      </c>
      <c r="B188" s="180" t="s">
        <v>458</v>
      </c>
      <c r="C188" s="181"/>
      <c r="D188" s="245" t="s">
        <v>935</v>
      </c>
      <c r="E188" s="221">
        <v>2408.1999999999998</v>
      </c>
      <c r="F188" s="222"/>
      <c r="G188" s="223"/>
      <c r="H188" s="223"/>
      <c r="I188" s="223"/>
      <c r="J188" s="223"/>
      <c r="K188" s="224"/>
      <c r="L188" s="186"/>
      <c r="M188" s="186"/>
      <c r="N188" s="186"/>
      <c r="O188" s="187"/>
      <c r="P188" s="187"/>
      <c r="Q188" s="187"/>
      <c r="R188" s="187"/>
      <c r="S188" s="188"/>
      <c r="T188" s="189"/>
      <c r="U188" s="190"/>
    </row>
    <row r="189" spans="1:21" ht="15" customHeight="1">
      <c r="A189" s="11">
        <v>113</v>
      </c>
      <c r="B189" s="8" t="s">
        <v>495</v>
      </c>
      <c r="C189" s="98" t="s">
        <v>678</v>
      </c>
      <c r="D189" s="170" t="s">
        <v>1015</v>
      </c>
      <c r="E189" s="80">
        <v>18.100000000000001</v>
      </c>
      <c r="F189" s="80" t="s">
        <v>928</v>
      </c>
      <c r="G189" s="80" t="s">
        <v>543</v>
      </c>
      <c r="H189" s="80" t="s">
        <v>544</v>
      </c>
      <c r="I189" s="80" t="s">
        <v>76</v>
      </c>
      <c r="J189" s="80" t="s">
        <v>186</v>
      </c>
      <c r="K189" s="220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1" ht="15" customHeight="1">
      <c r="A190" s="11">
        <v>113</v>
      </c>
      <c r="B190" s="8" t="s">
        <v>495</v>
      </c>
      <c r="C190" s="98" t="s">
        <v>679</v>
      </c>
      <c r="D190" s="170" t="s">
        <v>1059</v>
      </c>
      <c r="E190" s="80">
        <v>46.6</v>
      </c>
      <c r="F190" s="80" t="s">
        <v>193</v>
      </c>
      <c r="G190" s="80" t="s">
        <v>543</v>
      </c>
      <c r="H190" s="80" t="s">
        <v>544</v>
      </c>
      <c r="I190" s="80" t="s">
        <v>76</v>
      </c>
      <c r="J190" s="80" t="s">
        <v>190</v>
      </c>
      <c r="K190" s="220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1" ht="15" customHeight="1">
      <c r="A191" s="11">
        <v>113</v>
      </c>
      <c r="B191" s="8" t="s">
        <v>495</v>
      </c>
      <c r="C191" s="98" t="s">
        <v>680</v>
      </c>
      <c r="D191" s="170" t="s">
        <v>978</v>
      </c>
      <c r="E191" s="80">
        <v>15</v>
      </c>
      <c r="F191" s="80" t="s">
        <v>76</v>
      </c>
      <c r="G191" s="80" t="s">
        <v>76</v>
      </c>
      <c r="H191" s="80" t="s">
        <v>76</v>
      </c>
      <c r="I191" s="80" t="s">
        <v>76</v>
      </c>
      <c r="J191" s="80" t="s">
        <v>76</v>
      </c>
      <c r="K191" s="220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1" ht="15" customHeight="1">
      <c r="A192" s="11">
        <v>113</v>
      </c>
      <c r="B192" s="8" t="s">
        <v>495</v>
      </c>
      <c r="C192" s="98" t="s">
        <v>681</v>
      </c>
      <c r="D192" s="255" t="s">
        <v>1071</v>
      </c>
      <c r="E192" s="80">
        <v>17</v>
      </c>
      <c r="F192" s="80" t="s">
        <v>193</v>
      </c>
      <c r="G192" s="80" t="s">
        <v>543</v>
      </c>
      <c r="H192" s="80" t="s">
        <v>544</v>
      </c>
      <c r="I192" s="80" t="s">
        <v>76</v>
      </c>
      <c r="J192" s="80" t="s">
        <v>190</v>
      </c>
      <c r="K192" s="220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5" customHeight="1">
      <c r="A193" s="11">
        <v>113</v>
      </c>
      <c r="B193" s="8" t="s">
        <v>495</v>
      </c>
      <c r="C193" s="98" t="s">
        <v>682</v>
      </c>
      <c r="D193" s="170" t="s">
        <v>1060</v>
      </c>
      <c r="E193" s="80">
        <v>22.1</v>
      </c>
      <c r="F193" s="80" t="s">
        <v>193</v>
      </c>
      <c r="G193" s="80" t="s">
        <v>543</v>
      </c>
      <c r="H193" s="80" t="s">
        <v>544</v>
      </c>
      <c r="I193" s="80" t="s">
        <v>76</v>
      </c>
      <c r="J193" s="80" t="s">
        <v>76</v>
      </c>
      <c r="K193" s="220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5" customHeight="1">
      <c r="A194" s="11">
        <v>113</v>
      </c>
      <c r="B194" s="8" t="s">
        <v>495</v>
      </c>
      <c r="C194" s="98" t="s">
        <v>683</v>
      </c>
      <c r="D194" s="170" t="s">
        <v>1061</v>
      </c>
      <c r="E194" s="80">
        <v>22.1</v>
      </c>
      <c r="F194" s="80" t="s">
        <v>1185</v>
      </c>
      <c r="G194" s="80" t="s">
        <v>543</v>
      </c>
      <c r="H194" s="80" t="s">
        <v>544</v>
      </c>
      <c r="I194" s="80" t="s">
        <v>76</v>
      </c>
      <c r="J194" s="80" t="s">
        <v>1174</v>
      </c>
      <c r="K194" s="220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5" customHeight="1">
      <c r="A195" s="11">
        <v>113</v>
      </c>
      <c r="B195" s="8" t="s">
        <v>495</v>
      </c>
      <c r="C195" s="98" t="s">
        <v>684</v>
      </c>
      <c r="D195" s="170" t="s">
        <v>1062</v>
      </c>
      <c r="E195" s="80">
        <v>107.8</v>
      </c>
      <c r="F195" s="80" t="s">
        <v>1185</v>
      </c>
      <c r="G195" s="80" t="s">
        <v>543</v>
      </c>
      <c r="H195" s="80" t="s">
        <v>544</v>
      </c>
      <c r="I195" s="80" t="s">
        <v>76</v>
      </c>
      <c r="J195" s="80" t="s">
        <v>1174</v>
      </c>
      <c r="K195" s="220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5" customHeight="1">
      <c r="A196" s="11">
        <v>113</v>
      </c>
      <c r="B196" s="8" t="s">
        <v>495</v>
      </c>
      <c r="C196" s="98" t="s">
        <v>1070</v>
      </c>
      <c r="D196" s="170" t="s">
        <v>978</v>
      </c>
      <c r="E196" s="80">
        <v>17.8</v>
      </c>
      <c r="F196" s="80" t="s">
        <v>76</v>
      </c>
      <c r="G196" s="80" t="s">
        <v>76</v>
      </c>
      <c r="H196" s="80" t="s">
        <v>76</v>
      </c>
      <c r="I196" s="80" t="s">
        <v>76</v>
      </c>
      <c r="J196" s="80" t="s">
        <v>76</v>
      </c>
      <c r="K196" s="220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5" customHeight="1">
      <c r="A197" s="11">
        <v>113</v>
      </c>
      <c r="B197" s="8" t="s">
        <v>495</v>
      </c>
      <c r="C197" s="98" t="s">
        <v>685</v>
      </c>
      <c r="D197" s="170" t="s">
        <v>1061</v>
      </c>
      <c r="E197" s="80">
        <v>16.3</v>
      </c>
      <c r="F197" s="80" t="s">
        <v>1185</v>
      </c>
      <c r="G197" s="80" t="s">
        <v>543</v>
      </c>
      <c r="H197" s="80" t="s">
        <v>544</v>
      </c>
      <c r="I197" s="80" t="s">
        <v>76</v>
      </c>
      <c r="J197" s="80" t="s">
        <v>1174</v>
      </c>
      <c r="K197" s="220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5" customHeight="1">
      <c r="A198" s="11">
        <v>113</v>
      </c>
      <c r="B198" s="8" t="s">
        <v>495</v>
      </c>
      <c r="C198" s="98" t="s">
        <v>686</v>
      </c>
      <c r="D198" s="170" t="s">
        <v>1063</v>
      </c>
      <c r="E198" s="80">
        <v>16.3</v>
      </c>
      <c r="F198" s="80" t="s">
        <v>193</v>
      </c>
      <c r="G198" s="80" t="s">
        <v>543</v>
      </c>
      <c r="H198" s="80" t="s">
        <v>544</v>
      </c>
      <c r="I198" s="80" t="s">
        <v>76</v>
      </c>
      <c r="J198" s="80" t="s">
        <v>190</v>
      </c>
      <c r="K198" s="220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5" customHeight="1">
      <c r="A199" s="11">
        <v>113</v>
      </c>
      <c r="B199" s="8" t="s">
        <v>495</v>
      </c>
      <c r="C199" s="98" t="s">
        <v>687</v>
      </c>
      <c r="D199" s="170" t="s">
        <v>979</v>
      </c>
      <c r="E199" s="80">
        <v>32</v>
      </c>
      <c r="F199" s="80" t="s">
        <v>193</v>
      </c>
      <c r="G199" s="80" t="s">
        <v>543</v>
      </c>
      <c r="H199" s="80" t="s">
        <v>544</v>
      </c>
      <c r="I199" s="80" t="s">
        <v>76</v>
      </c>
      <c r="J199" s="80" t="s">
        <v>190</v>
      </c>
      <c r="K199" s="220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28.8" thickBot="1">
      <c r="A200" s="11">
        <v>113</v>
      </c>
      <c r="B200" s="8" t="s">
        <v>495</v>
      </c>
      <c r="C200" s="98" t="s">
        <v>688</v>
      </c>
      <c r="D200" s="170" t="s">
        <v>991</v>
      </c>
      <c r="E200" s="80">
        <v>18</v>
      </c>
      <c r="F200" s="80" t="s">
        <v>928</v>
      </c>
      <c r="G200" s="80" t="s">
        <v>543</v>
      </c>
      <c r="H200" s="80" t="s">
        <v>544</v>
      </c>
      <c r="I200" s="80" t="s">
        <v>76</v>
      </c>
      <c r="J200" s="80" t="s">
        <v>186</v>
      </c>
      <c r="K200" s="220"/>
      <c r="L200" s="178"/>
      <c r="M200" s="178"/>
      <c r="N200" s="178"/>
      <c r="O200" s="178"/>
      <c r="P200" s="159"/>
      <c r="Q200" s="159"/>
      <c r="R200" s="159"/>
      <c r="S200" s="159"/>
      <c r="T200" s="159"/>
    </row>
    <row r="201" spans="1:20" s="198" customFormat="1" ht="15" thickBot="1">
      <c r="A201" s="179">
        <v>113</v>
      </c>
      <c r="B201" s="180" t="s">
        <v>495</v>
      </c>
      <c r="C201" s="181"/>
      <c r="D201" s="245" t="s">
        <v>935</v>
      </c>
      <c r="E201" s="183">
        <v>437</v>
      </c>
    </row>
    <row r="202" spans="1:20" ht="15" thickBot="1">
      <c r="A202" s="75">
        <v>113</v>
      </c>
      <c r="B202" s="9" t="s">
        <v>938</v>
      </c>
      <c r="C202" s="93"/>
      <c r="D202" s="251" t="s">
        <v>939</v>
      </c>
      <c r="E202" s="11">
        <v>9831.2999999999993</v>
      </c>
      <c r="F202" s="11"/>
    </row>
    <row r="203" spans="1:20">
      <c r="D203" s="170"/>
    </row>
    <row r="204" spans="1:20">
      <c r="D204" s="170"/>
    </row>
    <row r="205" spans="1:20">
      <c r="D205" s="170"/>
    </row>
    <row r="206" spans="1:20">
      <c r="D206" s="170"/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XDB456"/>
  <sheetViews>
    <sheetView zoomScale="85" zoomScaleNormal="85" workbookViewId="0">
      <pane ySplit="2" topLeftCell="A3" activePane="bottomLeft" state="frozen"/>
      <selection activeCell="K27" sqref="K27"/>
      <selection pane="bottomLeft" activeCell="D81" sqref="D81"/>
    </sheetView>
  </sheetViews>
  <sheetFormatPr defaultColWidth="12.6640625" defaultRowHeight="15" customHeight="1"/>
  <cols>
    <col min="1" max="1" width="12.6640625" style="74"/>
    <col min="2" max="2" width="15.88671875" customWidth="1"/>
    <col min="3" max="3" width="15.109375" customWidth="1"/>
    <col min="4" max="4" width="29.109375" style="159" customWidth="1"/>
    <col min="5" max="5" width="16.6640625" customWidth="1"/>
    <col min="6" max="6" width="35.77734375" customWidth="1"/>
    <col min="7" max="7" width="29" customWidth="1"/>
    <col min="8" max="8" width="16.109375" customWidth="1"/>
    <col min="9" max="9" width="11.77734375" customWidth="1"/>
    <col min="10" max="10" width="27.21875" style="43" customWidth="1"/>
    <col min="11" max="11" width="12.44140625" style="43" customWidth="1"/>
    <col min="12" max="12" width="18.33203125" style="43" customWidth="1"/>
    <col min="13" max="13" width="21.33203125" style="43" customWidth="1"/>
    <col min="14" max="15" width="20.6640625" style="43" customWidth="1"/>
    <col min="16" max="16" width="4" style="43" customWidth="1"/>
  </cols>
  <sheetData>
    <row r="1" spans="1:21" s="20" customFormat="1" ht="31.5" customHeight="1">
      <c r="A1" s="74"/>
      <c r="B1" s="74"/>
      <c r="C1" s="74"/>
      <c r="D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  <c r="P1" s="38"/>
      <c r="Q1" s="38"/>
      <c r="R1" s="38"/>
      <c r="S1" s="39"/>
      <c r="T1" s="37"/>
      <c r="U1" s="27"/>
    </row>
    <row r="2" spans="1:21" ht="14.4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74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21" thickBot="1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74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168"/>
      <c r="Q3" s="25"/>
    </row>
    <row r="4" spans="1:21" s="12" customFormat="1" ht="14.25" customHeight="1" thickBot="1">
      <c r="A4" s="75">
        <v>121</v>
      </c>
      <c r="B4" s="9" t="s">
        <v>73</v>
      </c>
      <c r="C4" s="109">
        <v>101</v>
      </c>
      <c r="D4" s="134" t="s">
        <v>690</v>
      </c>
      <c r="E4" s="1">
        <v>31</v>
      </c>
      <c r="F4" s="24" t="s">
        <v>1192</v>
      </c>
      <c r="G4" s="22" t="s">
        <v>1194</v>
      </c>
      <c r="H4" s="8" t="s">
        <v>219</v>
      </c>
      <c r="I4" s="54" t="s">
        <v>38</v>
      </c>
      <c r="J4" s="57" t="s">
        <v>1193</v>
      </c>
      <c r="K4" s="35"/>
      <c r="L4" s="35"/>
      <c r="M4" s="271" t="s">
        <v>1198</v>
      </c>
      <c r="N4" s="35"/>
      <c r="O4" s="36"/>
      <c r="P4" s="37"/>
      <c r="Q4" s="17"/>
    </row>
    <row r="5" spans="1:21" s="12" customFormat="1" ht="14.25" customHeight="1" thickBot="1">
      <c r="A5" s="75">
        <v>121</v>
      </c>
      <c r="B5" s="9" t="s">
        <v>73</v>
      </c>
      <c r="C5" s="109">
        <v>102</v>
      </c>
      <c r="D5" s="134" t="s">
        <v>691</v>
      </c>
      <c r="E5" s="1">
        <v>89.5</v>
      </c>
      <c r="F5" s="14" t="s">
        <v>1197</v>
      </c>
      <c r="G5" s="22" t="s">
        <v>1194</v>
      </c>
      <c r="H5" s="8" t="s">
        <v>102</v>
      </c>
      <c r="I5" s="54" t="s">
        <v>38</v>
      </c>
      <c r="J5" s="47" t="s">
        <v>67</v>
      </c>
      <c r="K5" s="38"/>
      <c r="L5" s="38"/>
      <c r="M5" s="38"/>
      <c r="N5" s="38"/>
      <c r="O5" s="39"/>
      <c r="P5" s="37"/>
      <c r="Q5" s="17"/>
    </row>
    <row r="6" spans="1:21" s="12" customFormat="1" thickBot="1">
      <c r="A6" s="75">
        <v>121</v>
      </c>
      <c r="B6" s="9" t="s">
        <v>73</v>
      </c>
      <c r="C6" s="109">
        <v>105</v>
      </c>
      <c r="D6" s="134" t="s">
        <v>692</v>
      </c>
      <c r="E6" s="1">
        <v>134.80000000000001</v>
      </c>
      <c r="F6" s="14" t="s">
        <v>1197</v>
      </c>
      <c r="G6" s="22" t="s">
        <v>1194</v>
      </c>
      <c r="H6" s="55" t="s">
        <v>38</v>
      </c>
      <c r="I6" s="55" t="s">
        <v>38</v>
      </c>
      <c r="J6" s="47" t="s">
        <v>67</v>
      </c>
      <c r="K6" s="38"/>
      <c r="L6" s="38"/>
      <c r="M6" s="38"/>
      <c r="N6" s="38"/>
      <c r="O6" s="39"/>
      <c r="P6" s="37"/>
      <c r="Q6" s="17"/>
    </row>
    <row r="7" spans="1:21" s="12" customFormat="1" ht="14.25" customHeight="1" thickBot="1">
      <c r="A7" s="75">
        <v>121</v>
      </c>
      <c r="B7" s="9" t="s">
        <v>73</v>
      </c>
      <c r="C7" s="109">
        <v>106</v>
      </c>
      <c r="D7" s="134" t="s">
        <v>693</v>
      </c>
      <c r="E7" s="1">
        <v>47.6</v>
      </c>
      <c r="F7" s="14" t="s">
        <v>1197</v>
      </c>
      <c r="G7" s="22" t="s">
        <v>173</v>
      </c>
      <c r="H7" s="8" t="s">
        <v>218</v>
      </c>
      <c r="I7" s="55" t="s">
        <v>38</v>
      </c>
      <c r="J7" s="47" t="s">
        <v>1196</v>
      </c>
      <c r="K7" s="38"/>
      <c r="L7" s="38"/>
      <c r="M7" s="38"/>
      <c r="N7" s="38"/>
      <c r="O7" s="39"/>
      <c r="P7" s="37"/>
      <c r="Q7" s="17"/>
    </row>
    <row r="8" spans="1:21" s="12" customFormat="1" ht="14.25" customHeight="1" thickBot="1">
      <c r="A8" s="75">
        <v>121</v>
      </c>
      <c r="B8" s="9" t="s">
        <v>73</v>
      </c>
      <c r="C8" s="110">
        <v>107</v>
      </c>
      <c r="D8" s="115" t="s">
        <v>694</v>
      </c>
      <c r="E8" s="1">
        <v>106.9</v>
      </c>
      <c r="F8" s="14" t="s">
        <v>1197</v>
      </c>
      <c r="G8" s="22" t="s">
        <v>173</v>
      </c>
      <c r="H8" s="8" t="s">
        <v>218</v>
      </c>
      <c r="I8" s="55" t="s">
        <v>38</v>
      </c>
      <c r="J8" s="47" t="s">
        <v>1196</v>
      </c>
      <c r="K8" s="38"/>
      <c r="L8" s="38"/>
      <c r="M8" s="38"/>
      <c r="N8" s="38"/>
      <c r="O8" s="39"/>
      <c r="P8" s="37"/>
      <c r="Q8" s="17"/>
    </row>
    <row r="9" spans="1:21" s="12" customFormat="1" ht="14.25" customHeight="1" thickBot="1">
      <c r="A9" s="75">
        <v>121</v>
      </c>
      <c r="B9" s="9" t="s">
        <v>73</v>
      </c>
      <c r="C9" s="110">
        <v>108</v>
      </c>
      <c r="D9" s="115" t="s">
        <v>694</v>
      </c>
      <c r="E9" s="1">
        <v>38.4</v>
      </c>
      <c r="F9" s="14" t="s">
        <v>1187</v>
      </c>
      <c r="G9" s="22" t="s">
        <v>173</v>
      </c>
      <c r="H9" s="8" t="s">
        <v>218</v>
      </c>
      <c r="I9" s="55">
        <v>3200</v>
      </c>
      <c r="J9" s="47" t="s">
        <v>69</v>
      </c>
      <c r="K9" s="38"/>
      <c r="L9" s="38"/>
      <c r="M9" s="38"/>
      <c r="N9" s="38"/>
      <c r="O9" s="39"/>
      <c r="P9" s="37"/>
      <c r="Q9" s="17"/>
    </row>
    <row r="10" spans="1:21" s="12" customFormat="1" ht="16.2" customHeight="1" thickBot="1">
      <c r="A10" s="75">
        <v>121</v>
      </c>
      <c r="B10" s="9" t="s">
        <v>73</v>
      </c>
      <c r="C10" s="131">
        <v>109</v>
      </c>
      <c r="D10" s="292" t="s">
        <v>1310</v>
      </c>
      <c r="E10" s="2">
        <v>296.60000000000002</v>
      </c>
      <c r="F10" s="14" t="s">
        <v>1187</v>
      </c>
      <c r="G10" s="22" t="s">
        <v>173</v>
      </c>
      <c r="H10" s="8" t="s">
        <v>218</v>
      </c>
      <c r="I10" s="55">
        <v>3200</v>
      </c>
      <c r="J10" s="47" t="s">
        <v>69</v>
      </c>
      <c r="K10" s="38"/>
      <c r="L10" s="38"/>
      <c r="M10" s="38"/>
      <c r="N10" s="38"/>
      <c r="O10" s="39"/>
      <c r="P10" s="37"/>
      <c r="Q10" s="17"/>
    </row>
    <row r="11" spans="1:21" s="12" customFormat="1" ht="14.25" customHeight="1" thickBot="1">
      <c r="A11" s="75">
        <v>121</v>
      </c>
      <c r="B11" s="9" t="s">
        <v>73</v>
      </c>
      <c r="C11" s="111">
        <v>110</v>
      </c>
      <c r="D11" s="136" t="s">
        <v>695</v>
      </c>
      <c r="E11" s="2">
        <v>19.7</v>
      </c>
      <c r="F11" s="14" t="s">
        <v>1187</v>
      </c>
      <c r="G11" s="22" t="s">
        <v>1194</v>
      </c>
      <c r="H11" s="8" t="s">
        <v>218</v>
      </c>
      <c r="I11" s="55">
        <v>3200</v>
      </c>
      <c r="J11" s="47" t="s">
        <v>67</v>
      </c>
      <c r="K11" s="38"/>
      <c r="L11" s="38"/>
      <c r="M11" s="38"/>
      <c r="N11" s="38"/>
      <c r="O11" s="39"/>
      <c r="P11" s="37"/>
      <c r="Q11" s="17"/>
    </row>
    <row r="12" spans="1:21" s="12" customFormat="1" ht="14.25" customHeight="1" thickBot="1">
      <c r="A12" s="75">
        <v>121</v>
      </c>
      <c r="B12" s="9" t="s">
        <v>73</v>
      </c>
      <c r="C12" s="111">
        <v>111</v>
      </c>
      <c r="D12" s="137" t="s">
        <v>696</v>
      </c>
      <c r="E12" s="2">
        <v>17.399999999999999</v>
      </c>
      <c r="F12" s="14" t="s">
        <v>1187</v>
      </c>
      <c r="G12" s="22" t="s">
        <v>1194</v>
      </c>
      <c r="H12" s="8" t="s">
        <v>218</v>
      </c>
      <c r="I12" s="55" t="s">
        <v>38</v>
      </c>
      <c r="J12" s="47" t="s">
        <v>67</v>
      </c>
      <c r="K12" s="38"/>
      <c r="L12" s="38"/>
      <c r="M12" s="38"/>
      <c r="N12" s="38"/>
      <c r="O12" s="39"/>
      <c r="P12" s="37"/>
      <c r="Q12" s="17"/>
    </row>
    <row r="13" spans="1:21" s="12" customFormat="1" ht="14.25" customHeight="1" thickBot="1">
      <c r="A13" s="75">
        <v>121</v>
      </c>
      <c r="B13" s="9" t="s">
        <v>73</v>
      </c>
      <c r="C13" s="111">
        <v>112</v>
      </c>
      <c r="D13" s="138" t="s">
        <v>697</v>
      </c>
      <c r="E13" s="2">
        <v>181.1</v>
      </c>
      <c r="F13" s="14" t="s">
        <v>1187</v>
      </c>
      <c r="G13" s="22" t="s">
        <v>1194</v>
      </c>
      <c r="H13" s="8" t="s">
        <v>218</v>
      </c>
      <c r="I13" s="55" t="s">
        <v>38</v>
      </c>
      <c r="J13" s="47" t="s">
        <v>67</v>
      </c>
      <c r="K13" s="38"/>
      <c r="L13" s="38"/>
      <c r="M13" s="38"/>
      <c r="N13" s="38"/>
      <c r="O13" s="39"/>
      <c r="P13" s="37"/>
      <c r="Q13" s="17"/>
    </row>
    <row r="14" spans="1:21" s="12" customFormat="1" ht="14.25" customHeight="1" thickBot="1">
      <c r="A14" s="75">
        <v>121</v>
      </c>
      <c r="B14" s="9" t="s">
        <v>73</v>
      </c>
      <c r="C14" s="111">
        <v>113</v>
      </c>
      <c r="D14" s="139" t="s">
        <v>698</v>
      </c>
      <c r="E14" s="2">
        <v>37</v>
      </c>
      <c r="F14" s="24" t="s">
        <v>1192</v>
      </c>
      <c r="G14" s="8" t="s">
        <v>1195</v>
      </c>
      <c r="H14" s="8" t="s">
        <v>66</v>
      </c>
      <c r="I14" s="8">
        <v>3000</v>
      </c>
      <c r="J14" s="47" t="s">
        <v>67</v>
      </c>
      <c r="K14" s="38"/>
      <c r="L14" s="38"/>
      <c r="M14" s="38"/>
      <c r="N14" s="38"/>
      <c r="O14" s="39"/>
      <c r="P14" s="37"/>
      <c r="Q14" s="17"/>
    </row>
    <row r="15" spans="1:21" s="12" customFormat="1" ht="14.25" customHeight="1" thickBot="1">
      <c r="A15" s="75">
        <v>121</v>
      </c>
      <c r="B15" s="9" t="s">
        <v>73</v>
      </c>
      <c r="C15" s="132">
        <v>115</v>
      </c>
      <c r="D15" s="140" t="s">
        <v>1311</v>
      </c>
      <c r="E15" s="2">
        <v>137</v>
      </c>
      <c r="F15" s="14" t="s">
        <v>1187</v>
      </c>
      <c r="G15" s="8" t="s">
        <v>72</v>
      </c>
      <c r="H15" s="8" t="s">
        <v>66</v>
      </c>
      <c r="I15" s="8">
        <v>2800</v>
      </c>
      <c r="J15" s="47" t="s">
        <v>190</v>
      </c>
      <c r="K15" s="38"/>
      <c r="L15" s="38"/>
      <c r="M15" s="38"/>
      <c r="N15" s="38"/>
      <c r="O15" s="39"/>
      <c r="P15" s="37"/>
      <c r="Q15" s="17"/>
    </row>
    <row r="16" spans="1:21" s="12" customFormat="1" ht="13.5" customHeight="1" thickBot="1">
      <c r="A16" s="75">
        <v>121</v>
      </c>
      <c r="B16" s="9" t="s">
        <v>73</v>
      </c>
      <c r="C16" s="111" t="s">
        <v>689</v>
      </c>
      <c r="D16" s="139" t="s">
        <v>699</v>
      </c>
      <c r="E16" s="2">
        <v>7.2</v>
      </c>
      <c r="F16" s="80" t="s">
        <v>76</v>
      </c>
      <c r="G16" s="80" t="s">
        <v>76</v>
      </c>
      <c r="H16" s="80" t="s">
        <v>76</v>
      </c>
      <c r="I16" s="80" t="s">
        <v>76</v>
      </c>
      <c r="J16" s="80" t="s">
        <v>76</v>
      </c>
      <c r="K16" s="38"/>
      <c r="L16" s="38"/>
      <c r="M16" s="38"/>
      <c r="N16" s="38"/>
      <c r="O16" s="39"/>
      <c r="P16" s="37"/>
      <c r="Q16" s="17"/>
    </row>
    <row r="17" spans="1:17" s="12" customFormat="1" ht="14.25" customHeight="1" thickBot="1">
      <c r="A17" s="75">
        <v>121</v>
      </c>
      <c r="B17" s="9" t="s">
        <v>73</v>
      </c>
      <c r="C17" s="111">
        <v>116</v>
      </c>
      <c r="D17" s="141" t="s">
        <v>700</v>
      </c>
      <c r="E17" s="2">
        <v>40.4</v>
      </c>
      <c r="F17" s="14" t="s">
        <v>1186</v>
      </c>
      <c r="G17" s="8" t="s">
        <v>1170</v>
      </c>
      <c r="H17" s="80" t="s">
        <v>76</v>
      </c>
      <c r="I17" s="80" t="s">
        <v>76</v>
      </c>
      <c r="J17" s="47" t="s">
        <v>67</v>
      </c>
      <c r="K17" s="38"/>
      <c r="L17" s="38"/>
      <c r="M17" s="38"/>
      <c r="N17" s="38"/>
      <c r="O17" s="39"/>
      <c r="P17" s="37"/>
      <c r="Q17" s="17"/>
    </row>
    <row r="18" spans="1:17" s="12" customFormat="1" ht="14.25" customHeight="1" thickBot="1">
      <c r="A18" s="75">
        <v>121</v>
      </c>
      <c r="B18" s="9" t="s">
        <v>73</v>
      </c>
      <c r="C18" s="111">
        <v>118</v>
      </c>
      <c r="D18" s="139" t="s">
        <v>691</v>
      </c>
      <c r="E18" s="2">
        <v>725.4</v>
      </c>
      <c r="F18" s="14" t="s">
        <v>1187</v>
      </c>
      <c r="G18" s="8" t="s">
        <v>1188</v>
      </c>
      <c r="H18" s="8" t="s">
        <v>1175</v>
      </c>
      <c r="I18" s="8">
        <v>3200</v>
      </c>
      <c r="J18" s="47" t="s">
        <v>67</v>
      </c>
      <c r="K18" s="38"/>
      <c r="L18" s="38"/>
      <c r="M18" s="38"/>
      <c r="N18" s="38"/>
      <c r="O18" s="39"/>
      <c r="P18" s="37"/>
      <c r="Q18" s="17"/>
    </row>
    <row r="19" spans="1:17" s="12" customFormat="1" ht="14.25" customHeight="1" thickBot="1">
      <c r="A19" s="75">
        <v>121</v>
      </c>
      <c r="B19" s="9" t="s">
        <v>73</v>
      </c>
      <c r="C19" s="111">
        <v>119</v>
      </c>
      <c r="D19" s="141" t="s">
        <v>701</v>
      </c>
      <c r="E19" s="2">
        <v>59.2</v>
      </c>
      <c r="F19" s="14" t="s">
        <v>1201</v>
      </c>
      <c r="G19" s="22" t="s">
        <v>173</v>
      </c>
      <c r="H19" s="8" t="s">
        <v>218</v>
      </c>
      <c r="I19" s="55">
        <v>3200</v>
      </c>
      <c r="J19" s="47" t="s">
        <v>69</v>
      </c>
      <c r="K19" s="38"/>
      <c r="L19" s="38"/>
      <c r="M19" s="38"/>
      <c r="N19" s="38"/>
      <c r="O19" s="39"/>
      <c r="P19" s="37"/>
      <c r="Q19" s="17"/>
    </row>
    <row r="20" spans="1:17" s="12" customFormat="1" ht="17.399999999999999" customHeight="1" thickBot="1">
      <c r="A20" s="75">
        <v>121</v>
      </c>
      <c r="B20" s="9" t="s">
        <v>73</v>
      </c>
      <c r="C20" s="111">
        <v>120</v>
      </c>
      <c r="D20" s="141" t="s">
        <v>702</v>
      </c>
      <c r="E20" s="2">
        <v>78.400000000000006</v>
      </c>
      <c r="F20" s="14" t="s">
        <v>1199</v>
      </c>
      <c r="G20" s="22" t="s">
        <v>173</v>
      </c>
      <c r="H20" s="8" t="s">
        <v>218</v>
      </c>
      <c r="I20" s="55">
        <v>3200</v>
      </c>
      <c r="J20" s="47" t="s">
        <v>69</v>
      </c>
      <c r="K20" s="38"/>
      <c r="L20" s="38"/>
      <c r="M20" s="38"/>
      <c r="N20" s="38"/>
      <c r="O20" s="39"/>
      <c r="P20" s="37"/>
      <c r="Q20" s="17"/>
    </row>
    <row r="21" spans="1:17" s="12" customFormat="1" ht="18" customHeight="1" thickBot="1">
      <c r="A21" s="75">
        <v>121</v>
      </c>
      <c r="B21" s="9" t="s">
        <v>73</v>
      </c>
      <c r="C21" s="111">
        <v>121</v>
      </c>
      <c r="D21" s="142" t="s">
        <v>703</v>
      </c>
      <c r="E21" s="2">
        <v>39.4</v>
      </c>
      <c r="F21" s="14" t="s">
        <v>1199</v>
      </c>
      <c r="G21" s="22" t="s">
        <v>173</v>
      </c>
      <c r="H21" s="8" t="s">
        <v>218</v>
      </c>
      <c r="I21" s="55">
        <v>3200</v>
      </c>
      <c r="J21" s="47" t="s">
        <v>69</v>
      </c>
      <c r="K21" s="38"/>
      <c r="L21" s="38"/>
      <c r="M21" s="38"/>
      <c r="N21" s="38"/>
      <c r="O21" s="39"/>
      <c r="P21" s="37"/>
      <c r="Q21" s="17"/>
    </row>
    <row r="22" spans="1:17" s="12" customFormat="1" ht="14.25" customHeight="1" thickBot="1">
      <c r="A22" s="75">
        <v>121</v>
      </c>
      <c r="B22" s="9" t="s">
        <v>73</v>
      </c>
      <c r="C22" s="111">
        <v>122</v>
      </c>
      <c r="D22" s="139" t="s">
        <v>695</v>
      </c>
      <c r="E22" s="1">
        <v>4.7</v>
      </c>
      <c r="F22" s="14" t="s">
        <v>1199</v>
      </c>
      <c r="G22" s="22" t="s">
        <v>173</v>
      </c>
      <c r="H22" s="8" t="s">
        <v>218</v>
      </c>
      <c r="I22" s="55">
        <v>3200</v>
      </c>
      <c r="J22" s="47" t="s">
        <v>69</v>
      </c>
      <c r="K22" s="38"/>
      <c r="L22" s="38"/>
      <c r="M22" s="38"/>
      <c r="N22" s="38"/>
      <c r="O22" s="39"/>
      <c r="P22" s="37"/>
      <c r="Q22" s="17"/>
    </row>
    <row r="23" spans="1:17" s="12" customFormat="1" ht="14.25" customHeight="1" thickBot="1">
      <c r="A23" s="75">
        <v>121</v>
      </c>
      <c r="B23" s="9" t="s">
        <v>73</v>
      </c>
      <c r="C23" s="111">
        <v>123</v>
      </c>
      <c r="D23" s="139" t="s">
        <v>704</v>
      </c>
      <c r="E23" s="2">
        <v>19.399999999999999</v>
      </c>
      <c r="F23" s="14" t="s">
        <v>1199</v>
      </c>
      <c r="G23" s="22" t="s">
        <v>173</v>
      </c>
      <c r="H23" s="8" t="s">
        <v>218</v>
      </c>
      <c r="I23" s="55">
        <v>3200</v>
      </c>
      <c r="J23" s="47" t="s">
        <v>69</v>
      </c>
      <c r="K23" s="38"/>
      <c r="L23" s="38"/>
      <c r="M23" s="38"/>
      <c r="N23" s="38"/>
      <c r="O23" s="39"/>
      <c r="P23" s="37"/>
      <c r="Q23" s="17"/>
    </row>
    <row r="24" spans="1:17" s="12" customFormat="1" ht="14.25" customHeight="1" thickBot="1">
      <c r="A24" s="75">
        <v>121</v>
      </c>
      <c r="B24" s="9" t="s">
        <v>73</v>
      </c>
      <c r="C24" s="111">
        <v>125</v>
      </c>
      <c r="D24" s="142" t="s">
        <v>691</v>
      </c>
      <c r="E24" s="2">
        <v>95.7</v>
      </c>
      <c r="F24" s="14" t="s">
        <v>1199</v>
      </c>
      <c r="G24" s="22" t="s">
        <v>173</v>
      </c>
      <c r="H24" s="8" t="s">
        <v>218</v>
      </c>
      <c r="I24" s="55">
        <v>3200</v>
      </c>
      <c r="J24" s="47" t="s">
        <v>69</v>
      </c>
      <c r="K24" s="38"/>
      <c r="L24" s="38"/>
      <c r="M24" s="38"/>
      <c r="N24" s="38"/>
      <c r="O24" s="39"/>
      <c r="P24" s="37"/>
      <c r="Q24" s="17"/>
    </row>
    <row r="25" spans="1:17" s="12" customFormat="1" ht="14.25" customHeight="1" thickBot="1">
      <c r="A25" s="75">
        <v>121</v>
      </c>
      <c r="B25" s="9" t="s">
        <v>73</v>
      </c>
      <c r="C25" s="111">
        <v>126</v>
      </c>
      <c r="D25" s="139" t="s">
        <v>705</v>
      </c>
      <c r="E25" s="1">
        <v>23.7</v>
      </c>
      <c r="F25" s="14" t="s">
        <v>1199</v>
      </c>
      <c r="G25" s="22" t="s">
        <v>173</v>
      </c>
      <c r="H25" s="8" t="s">
        <v>218</v>
      </c>
      <c r="I25" s="55">
        <v>3200</v>
      </c>
      <c r="J25" s="47" t="s">
        <v>69</v>
      </c>
      <c r="K25" s="38"/>
      <c r="L25" s="38"/>
      <c r="M25" s="38"/>
      <c r="N25" s="38"/>
      <c r="O25" s="39"/>
      <c r="P25" s="37"/>
      <c r="Q25" s="17"/>
    </row>
    <row r="26" spans="1:17" s="12" customFormat="1" ht="14.25" customHeight="1" thickBot="1">
      <c r="A26" s="75">
        <v>121</v>
      </c>
      <c r="B26" s="9" t="s">
        <v>73</v>
      </c>
      <c r="C26" s="110">
        <v>127</v>
      </c>
      <c r="D26" s="115" t="s">
        <v>706</v>
      </c>
      <c r="E26" s="2">
        <v>11</v>
      </c>
      <c r="F26" s="14" t="s">
        <v>1199</v>
      </c>
      <c r="G26" s="8" t="s">
        <v>1207</v>
      </c>
      <c r="H26" s="8" t="s">
        <v>1208</v>
      </c>
      <c r="I26" s="8">
        <v>3200</v>
      </c>
      <c r="J26" s="48" t="s">
        <v>1209</v>
      </c>
      <c r="K26" s="38"/>
      <c r="L26" s="38"/>
      <c r="M26" s="38"/>
      <c r="N26" s="38"/>
      <c r="O26" s="39"/>
      <c r="P26" s="37"/>
      <c r="Q26" s="17"/>
    </row>
    <row r="27" spans="1:17" s="12" customFormat="1" ht="14.25" customHeight="1" thickBot="1">
      <c r="A27" s="75">
        <v>121</v>
      </c>
      <c r="B27" s="9" t="s">
        <v>73</v>
      </c>
      <c r="C27" s="110">
        <v>128</v>
      </c>
      <c r="D27" s="115" t="s">
        <v>707</v>
      </c>
      <c r="E27" s="1">
        <v>32.4</v>
      </c>
      <c r="F27" s="14" t="s">
        <v>1199</v>
      </c>
      <c r="G27" s="22" t="s">
        <v>173</v>
      </c>
      <c r="H27" s="8" t="s">
        <v>218</v>
      </c>
      <c r="I27" s="55">
        <v>3200</v>
      </c>
      <c r="J27" s="47" t="s">
        <v>69</v>
      </c>
      <c r="K27" s="38"/>
      <c r="L27" s="38"/>
      <c r="M27" s="38"/>
      <c r="N27" s="38"/>
      <c r="O27" s="39"/>
      <c r="P27" s="37"/>
      <c r="Q27" s="17"/>
    </row>
    <row r="28" spans="1:17" s="12" customFormat="1" ht="14.25" customHeight="1" thickBot="1">
      <c r="A28" s="75">
        <v>121</v>
      </c>
      <c r="B28" s="9" t="s">
        <v>73</v>
      </c>
      <c r="C28" s="110">
        <v>129</v>
      </c>
      <c r="D28" s="115" t="s">
        <v>708</v>
      </c>
      <c r="E28" s="1">
        <v>5.5</v>
      </c>
      <c r="F28" s="14" t="s">
        <v>1199</v>
      </c>
      <c r="G28" s="22" t="s">
        <v>173</v>
      </c>
      <c r="H28" s="8" t="s">
        <v>218</v>
      </c>
      <c r="I28" s="55">
        <v>3200</v>
      </c>
      <c r="J28" s="47" t="s">
        <v>69</v>
      </c>
      <c r="K28" s="38"/>
      <c r="L28" s="38"/>
      <c r="M28" s="38"/>
      <c r="N28" s="38"/>
      <c r="O28" s="39"/>
      <c r="P28" s="37"/>
      <c r="Q28" s="17"/>
    </row>
    <row r="29" spans="1:17" s="12" customFormat="1" ht="14.25" customHeight="1" thickBot="1">
      <c r="A29" s="75">
        <v>121</v>
      </c>
      <c r="B29" s="9" t="s">
        <v>73</v>
      </c>
      <c r="C29" s="112">
        <v>130</v>
      </c>
      <c r="D29" s="143" t="s">
        <v>709</v>
      </c>
      <c r="E29" s="1">
        <v>9.8000000000000007</v>
      </c>
      <c r="F29" s="14" t="s">
        <v>1199</v>
      </c>
      <c r="G29" s="22" t="s">
        <v>173</v>
      </c>
      <c r="H29" s="8" t="s">
        <v>218</v>
      </c>
      <c r="I29" s="55">
        <v>3200</v>
      </c>
      <c r="J29" s="47" t="s">
        <v>69</v>
      </c>
      <c r="K29" s="38"/>
      <c r="L29" s="38"/>
      <c r="M29" s="38"/>
      <c r="N29" s="38"/>
      <c r="O29" s="39"/>
      <c r="P29" s="37"/>
      <c r="Q29" s="17"/>
    </row>
    <row r="30" spans="1:17" s="12" customFormat="1" ht="14.25" customHeight="1" thickBot="1">
      <c r="A30" s="75">
        <v>121</v>
      </c>
      <c r="B30" s="9" t="s">
        <v>73</v>
      </c>
      <c r="C30" s="112">
        <v>132</v>
      </c>
      <c r="D30" s="143" t="s">
        <v>710</v>
      </c>
      <c r="E30" s="1">
        <v>127.2</v>
      </c>
      <c r="F30" s="14" t="s">
        <v>1187</v>
      </c>
      <c r="G30" s="8" t="s">
        <v>1189</v>
      </c>
      <c r="H30" s="8" t="s">
        <v>1171</v>
      </c>
      <c r="I30" s="8">
        <v>3200</v>
      </c>
      <c r="J30" s="47" t="s">
        <v>67</v>
      </c>
      <c r="K30" s="38"/>
      <c r="L30" s="38"/>
      <c r="M30" s="38"/>
      <c r="N30" s="38"/>
      <c r="O30" s="39"/>
      <c r="P30" s="37"/>
      <c r="Q30" s="17"/>
    </row>
    <row r="31" spans="1:17" s="12" customFormat="1" ht="14.25" customHeight="1" thickBot="1">
      <c r="A31" s="75">
        <v>121</v>
      </c>
      <c r="B31" s="9" t="s">
        <v>73</v>
      </c>
      <c r="C31" s="112">
        <v>133</v>
      </c>
      <c r="D31" s="144" t="s">
        <v>711</v>
      </c>
      <c r="E31" s="1">
        <v>56.6</v>
      </c>
      <c r="F31" s="14" t="s">
        <v>1199</v>
      </c>
      <c r="G31" s="22" t="s">
        <v>173</v>
      </c>
      <c r="H31" s="8" t="s">
        <v>218</v>
      </c>
      <c r="I31" s="55">
        <v>3200</v>
      </c>
      <c r="J31" s="47" t="s">
        <v>69</v>
      </c>
      <c r="K31" s="38"/>
      <c r="L31" s="38"/>
      <c r="M31" s="38"/>
      <c r="N31" s="38"/>
      <c r="O31" s="39"/>
      <c r="P31" s="37"/>
      <c r="Q31" s="17"/>
    </row>
    <row r="32" spans="1:17" s="12" customFormat="1" ht="14.25" customHeight="1" thickBot="1">
      <c r="A32" s="75">
        <v>121</v>
      </c>
      <c r="B32" s="9" t="s">
        <v>73</v>
      </c>
      <c r="C32" s="110">
        <v>135</v>
      </c>
      <c r="D32" s="133" t="s">
        <v>712</v>
      </c>
      <c r="E32" s="1">
        <v>22.3</v>
      </c>
      <c r="F32" s="14" t="s">
        <v>1199</v>
      </c>
      <c r="G32" s="22" t="s">
        <v>173</v>
      </c>
      <c r="H32" s="8" t="s">
        <v>218</v>
      </c>
      <c r="I32" s="55">
        <v>3200</v>
      </c>
      <c r="J32" s="47" t="s">
        <v>69</v>
      </c>
      <c r="K32" s="38"/>
      <c r="L32" s="38"/>
      <c r="M32" s="38"/>
      <c r="N32" s="38"/>
      <c r="O32" s="39"/>
      <c r="P32" s="37"/>
      <c r="Q32" s="17"/>
    </row>
    <row r="33" spans="1:17" s="210" customFormat="1" ht="14.25" customHeight="1" thickBot="1">
      <c r="A33" s="199">
        <v>121</v>
      </c>
      <c r="B33" s="200" t="s">
        <v>1083</v>
      </c>
      <c r="C33" s="201">
        <v>136</v>
      </c>
      <c r="D33" s="202" t="s">
        <v>1084</v>
      </c>
      <c r="E33" s="203"/>
      <c r="F33" s="204"/>
      <c r="G33" s="22" t="s">
        <v>173</v>
      </c>
      <c r="H33" s="8" t="s">
        <v>218</v>
      </c>
      <c r="I33" s="55">
        <v>3200</v>
      </c>
      <c r="J33" s="47" t="s">
        <v>69</v>
      </c>
      <c r="K33" s="206"/>
      <c r="L33" s="206"/>
      <c r="M33" s="206"/>
      <c r="N33" s="206"/>
      <c r="O33" s="207"/>
      <c r="P33" s="208"/>
      <c r="Q33" s="209"/>
    </row>
    <row r="34" spans="1:17" s="12" customFormat="1" ht="14.25" customHeight="1" thickBot="1">
      <c r="A34" s="75">
        <v>121</v>
      </c>
      <c r="B34" s="9" t="s">
        <v>73</v>
      </c>
      <c r="C34" s="110">
        <v>137</v>
      </c>
      <c r="D34" s="133" t="s">
        <v>713</v>
      </c>
      <c r="E34" s="1">
        <v>132.6</v>
      </c>
      <c r="F34" s="14" t="s">
        <v>1199</v>
      </c>
      <c r="G34" s="22" t="s">
        <v>173</v>
      </c>
      <c r="H34" s="8" t="s">
        <v>218</v>
      </c>
      <c r="I34" s="55">
        <v>3200</v>
      </c>
      <c r="J34" s="47" t="s">
        <v>69</v>
      </c>
      <c r="K34" s="38"/>
      <c r="L34" s="38"/>
      <c r="M34" s="38"/>
      <c r="N34" s="38"/>
      <c r="O34" s="39"/>
      <c r="P34" s="37"/>
      <c r="Q34" s="17"/>
    </row>
    <row r="35" spans="1:17" s="12" customFormat="1" ht="17.399999999999999" customHeight="1" thickBot="1">
      <c r="A35" s="75">
        <v>121</v>
      </c>
      <c r="B35" s="9" t="s">
        <v>73</v>
      </c>
      <c r="C35" s="110">
        <v>138</v>
      </c>
      <c r="D35" s="145" t="s">
        <v>714</v>
      </c>
      <c r="E35" s="2">
        <v>2065.6999999999998</v>
      </c>
      <c r="F35" s="14" t="s">
        <v>1187</v>
      </c>
      <c r="G35" s="8" t="s">
        <v>1189</v>
      </c>
      <c r="H35" s="8" t="s">
        <v>1190</v>
      </c>
      <c r="I35" s="8">
        <v>3200</v>
      </c>
      <c r="J35" s="47" t="s">
        <v>67</v>
      </c>
      <c r="K35" s="38"/>
      <c r="L35" s="38"/>
      <c r="M35" s="38"/>
      <c r="N35" s="38"/>
      <c r="O35" s="39"/>
      <c r="P35" s="37"/>
      <c r="Q35" s="17"/>
    </row>
    <row r="36" spans="1:17" s="12" customFormat="1" ht="14.25" customHeight="1" thickBot="1">
      <c r="A36" s="75">
        <v>121</v>
      </c>
      <c r="B36" s="9" t="s">
        <v>73</v>
      </c>
      <c r="C36" s="110">
        <v>139</v>
      </c>
      <c r="D36" s="115" t="s">
        <v>715</v>
      </c>
      <c r="E36" s="1">
        <v>3.6</v>
      </c>
      <c r="F36" s="14" t="s">
        <v>1199</v>
      </c>
      <c r="G36" s="22" t="s">
        <v>173</v>
      </c>
      <c r="H36" s="8" t="s">
        <v>218</v>
      </c>
      <c r="I36" s="55">
        <v>3200</v>
      </c>
      <c r="J36" s="47" t="s">
        <v>69</v>
      </c>
      <c r="K36" s="38"/>
      <c r="L36" s="38"/>
      <c r="M36" s="38"/>
      <c r="N36" s="38"/>
      <c r="O36" s="39"/>
      <c r="P36" s="37"/>
      <c r="Q36" s="17"/>
    </row>
    <row r="37" spans="1:17" s="12" customFormat="1" ht="14.25" customHeight="1" thickBot="1">
      <c r="A37" s="75">
        <v>121</v>
      </c>
      <c r="B37" s="9" t="s">
        <v>73</v>
      </c>
      <c r="C37" s="113">
        <v>140</v>
      </c>
      <c r="D37" s="146" t="s">
        <v>716</v>
      </c>
      <c r="E37" s="2">
        <v>9.3000000000000007</v>
      </c>
      <c r="F37" s="14" t="s">
        <v>1199</v>
      </c>
      <c r="G37" s="22" t="s">
        <v>173</v>
      </c>
      <c r="H37" s="8" t="s">
        <v>218</v>
      </c>
      <c r="I37" s="55">
        <v>3200</v>
      </c>
      <c r="J37" s="47" t="s">
        <v>69</v>
      </c>
      <c r="K37" s="38"/>
      <c r="L37" s="38"/>
      <c r="M37" s="38"/>
      <c r="N37" s="38"/>
      <c r="O37" s="39"/>
      <c r="P37" s="37"/>
      <c r="Q37" s="17"/>
    </row>
    <row r="38" spans="1:17" s="12" customFormat="1" ht="14.25" customHeight="1" thickBot="1">
      <c r="A38" s="75">
        <v>121</v>
      </c>
      <c r="B38" s="9" t="s">
        <v>73</v>
      </c>
      <c r="C38" s="114">
        <v>141</v>
      </c>
      <c r="D38" s="147" t="s">
        <v>717</v>
      </c>
      <c r="E38" s="2">
        <v>9.1</v>
      </c>
      <c r="F38" s="14" t="s">
        <v>1199</v>
      </c>
      <c r="G38" s="22" t="s">
        <v>173</v>
      </c>
      <c r="H38" s="8" t="s">
        <v>218</v>
      </c>
      <c r="I38" s="55">
        <v>3200</v>
      </c>
      <c r="J38" s="47" t="s">
        <v>69</v>
      </c>
      <c r="K38" s="38"/>
      <c r="L38" s="38"/>
      <c r="M38" s="38"/>
      <c r="N38" s="38"/>
      <c r="O38" s="39"/>
      <c r="P38" s="37"/>
      <c r="Q38" s="17"/>
    </row>
    <row r="39" spans="1:17" s="12" customFormat="1" thickBot="1">
      <c r="A39" s="75">
        <v>121</v>
      </c>
      <c r="B39" s="9" t="s">
        <v>73</v>
      </c>
      <c r="C39" s="114">
        <v>142</v>
      </c>
      <c r="D39" s="147" t="s">
        <v>1276</v>
      </c>
      <c r="E39" s="1">
        <v>15.2</v>
      </c>
      <c r="F39" s="14" t="s">
        <v>1199</v>
      </c>
      <c r="G39" s="22" t="s">
        <v>173</v>
      </c>
      <c r="H39" s="8" t="s">
        <v>218</v>
      </c>
      <c r="I39" s="55">
        <v>3200</v>
      </c>
      <c r="J39" s="47" t="s">
        <v>69</v>
      </c>
      <c r="K39" s="38"/>
      <c r="L39" s="38"/>
      <c r="M39" s="38"/>
      <c r="N39" s="38"/>
      <c r="O39" s="39"/>
      <c r="P39" s="37"/>
      <c r="Q39" s="17"/>
    </row>
    <row r="40" spans="1:17" s="12" customFormat="1" ht="14.25" customHeight="1" thickBot="1">
      <c r="A40" s="75">
        <v>121</v>
      </c>
      <c r="B40" s="9" t="s">
        <v>73</v>
      </c>
      <c r="C40" s="114">
        <v>143</v>
      </c>
      <c r="D40" s="147" t="s">
        <v>718</v>
      </c>
      <c r="E40" s="1">
        <v>9.3000000000000007</v>
      </c>
      <c r="F40" s="14" t="s">
        <v>1199</v>
      </c>
      <c r="G40" s="22" t="s">
        <v>173</v>
      </c>
      <c r="H40" s="8" t="s">
        <v>218</v>
      </c>
      <c r="I40" s="55">
        <v>3200</v>
      </c>
      <c r="J40" s="47" t="s">
        <v>69</v>
      </c>
      <c r="K40" s="38"/>
      <c r="L40" s="38"/>
      <c r="M40" s="38"/>
      <c r="N40" s="38"/>
      <c r="O40" s="39"/>
      <c r="P40" s="37"/>
      <c r="Q40" s="17"/>
    </row>
    <row r="41" spans="1:17" s="12" customFormat="1" ht="14.25" customHeight="1" thickBot="1">
      <c r="A41" s="75">
        <v>121</v>
      </c>
      <c r="B41" s="9" t="s">
        <v>73</v>
      </c>
      <c r="C41" s="114">
        <v>145</v>
      </c>
      <c r="D41" s="147" t="s">
        <v>719</v>
      </c>
      <c r="E41" s="2">
        <v>9.1</v>
      </c>
      <c r="F41" s="14" t="s">
        <v>1199</v>
      </c>
      <c r="G41" s="22" t="s">
        <v>173</v>
      </c>
      <c r="H41" s="8" t="s">
        <v>218</v>
      </c>
      <c r="I41" s="55">
        <v>3200</v>
      </c>
      <c r="J41" s="47" t="s">
        <v>69</v>
      </c>
      <c r="K41" s="38"/>
      <c r="L41" s="38"/>
      <c r="M41" s="38"/>
      <c r="N41" s="38"/>
      <c r="O41" s="39"/>
      <c r="P41" s="37"/>
      <c r="Q41" s="17"/>
    </row>
    <row r="42" spans="1:17" s="12" customFormat="1" ht="14.25" customHeight="1" thickBot="1">
      <c r="A42" s="75">
        <v>121</v>
      </c>
      <c r="B42" s="9" t="s">
        <v>73</v>
      </c>
      <c r="C42" s="114">
        <v>150</v>
      </c>
      <c r="D42" s="148" t="s">
        <v>720</v>
      </c>
      <c r="E42" s="1">
        <v>3.6</v>
      </c>
      <c r="F42" s="14" t="s">
        <v>1199</v>
      </c>
      <c r="G42" s="22" t="s">
        <v>173</v>
      </c>
      <c r="H42" s="8" t="s">
        <v>218</v>
      </c>
      <c r="I42" s="55">
        <v>3200</v>
      </c>
      <c r="J42" s="47" t="s">
        <v>69</v>
      </c>
      <c r="K42" s="38"/>
      <c r="L42" s="38"/>
      <c r="M42" s="38"/>
      <c r="N42" s="38"/>
      <c r="O42" s="39"/>
      <c r="P42" s="37"/>
      <c r="Q42" s="17"/>
    </row>
    <row r="43" spans="1:17" s="12" customFormat="1" ht="14.25" customHeight="1" thickBot="1">
      <c r="A43" s="75">
        <v>121</v>
      </c>
      <c r="B43" s="9" t="s">
        <v>73</v>
      </c>
      <c r="C43" s="114">
        <v>151</v>
      </c>
      <c r="D43" s="148" t="s">
        <v>721</v>
      </c>
      <c r="E43" s="2">
        <v>23.8</v>
      </c>
      <c r="F43" s="14" t="s">
        <v>1199</v>
      </c>
      <c r="G43" s="22" t="s">
        <v>173</v>
      </c>
      <c r="H43" s="8" t="s">
        <v>218</v>
      </c>
      <c r="I43" s="55">
        <v>3200</v>
      </c>
      <c r="J43" s="47" t="s">
        <v>69</v>
      </c>
      <c r="K43" s="38"/>
      <c r="L43" s="38"/>
      <c r="M43" s="38"/>
      <c r="N43" s="38"/>
      <c r="O43" s="39"/>
      <c r="P43" s="37"/>
      <c r="Q43" s="17"/>
    </row>
    <row r="44" spans="1:17" s="12" customFormat="1" ht="14.25" customHeight="1" thickBot="1">
      <c r="A44" s="75">
        <v>121</v>
      </c>
      <c r="B44" s="9" t="s">
        <v>73</v>
      </c>
      <c r="C44" s="114">
        <v>152</v>
      </c>
      <c r="D44" s="147" t="s">
        <v>1085</v>
      </c>
      <c r="E44" s="1">
        <v>9.9</v>
      </c>
      <c r="F44" s="14" t="s">
        <v>1200</v>
      </c>
      <c r="G44" s="22" t="s">
        <v>173</v>
      </c>
      <c r="H44" s="8" t="s">
        <v>218</v>
      </c>
      <c r="I44" s="55">
        <v>3200</v>
      </c>
      <c r="J44" s="47" t="s">
        <v>69</v>
      </c>
      <c r="K44" s="38"/>
      <c r="L44" s="38"/>
      <c r="M44" s="38"/>
      <c r="N44" s="38"/>
      <c r="O44" s="39"/>
      <c r="P44" s="37"/>
      <c r="Q44" s="17"/>
    </row>
    <row r="45" spans="1:17" s="12" customFormat="1" ht="14.25" customHeight="1" thickBot="1">
      <c r="A45" s="75">
        <v>121</v>
      </c>
      <c r="B45" s="9" t="s">
        <v>73</v>
      </c>
      <c r="C45" s="114">
        <v>153</v>
      </c>
      <c r="D45" s="147" t="s">
        <v>722</v>
      </c>
      <c r="E45" s="1">
        <v>15.3</v>
      </c>
      <c r="F45" s="14" t="s">
        <v>1187</v>
      </c>
      <c r="G45" s="8" t="s">
        <v>1189</v>
      </c>
      <c r="H45" s="8" t="s">
        <v>1171</v>
      </c>
      <c r="I45" s="8" t="s">
        <v>1191</v>
      </c>
      <c r="J45" s="47" t="s">
        <v>67</v>
      </c>
      <c r="K45" s="38"/>
      <c r="L45" s="38"/>
      <c r="M45" s="38"/>
      <c r="N45" s="38"/>
      <c r="O45" s="39"/>
      <c r="P45" s="37"/>
      <c r="Q45" s="17"/>
    </row>
    <row r="46" spans="1:17" s="12" customFormat="1" ht="14.25" customHeight="1" thickBot="1">
      <c r="A46" s="75">
        <v>121</v>
      </c>
      <c r="B46" s="9" t="s">
        <v>73</v>
      </c>
      <c r="C46" s="114">
        <v>155</v>
      </c>
      <c r="D46" s="148" t="s">
        <v>723</v>
      </c>
      <c r="E46" s="2">
        <v>10.199999999999999</v>
      </c>
      <c r="F46" s="14" t="s">
        <v>1199</v>
      </c>
      <c r="G46" s="22" t="s">
        <v>173</v>
      </c>
      <c r="H46" s="8" t="s">
        <v>218</v>
      </c>
      <c r="I46" s="55">
        <v>3200</v>
      </c>
      <c r="J46" s="47" t="s">
        <v>69</v>
      </c>
      <c r="K46" s="38"/>
      <c r="L46" s="38"/>
      <c r="M46" s="38"/>
      <c r="N46" s="38"/>
      <c r="O46" s="39"/>
      <c r="P46" s="37"/>
      <c r="Q46" s="17"/>
    </row>
    <row r="47" spans="1:17" s="12" customFormat="1" thickBot="1">
      <c r="A47" s="75">
        <v>121</v>
      </c>
      <c r="B47" s="9" t="s">
        <v>73</v>
      </c>
      <c r="C47" s="114">
        <v>156</v>
      </c>
      <c r="D47" s="148" t="s">
        <v>720</v>
      </c>
      <c r="E47" s="1">
        <v>10.5</v>
      </c>
      <c r="F47" s="14" t="s">
        <v>1199</v>
      </c>
      <c r="G47" s="22" t="s">
        <v>173</v>
      </c>
      <c r="H47" s="8" t="s">
        <v>218</v>
      </c>
      <c r="I47" s="55">
        <v>3200</v>
      </c>
      <c r="J47" s="47" t="s">
        <v>69</v>
      </c>
      <c r="K47" s="38"/>
      <c r="L47" s="38"/>
      <c r="M47" s="38"/>
      <c r="N47" s="38"/>
      <c r="O47" s="39"/>
      <c r="P47" s="37"/>
      <c r="Q47" s="17"/>
    </row>
    <row r="48" spans="1:17" s="12" customFormat="1" ht="14.25" customHeight="1" thickBot="1">
      <c r="A48" s="75">
        <v>121</v>
      </c>
      <c r="B48" s="9" t="s">
        <v>73</v>
      </c>
      <c r="C48" s="114">
        <v>158</v>
      </c>
      <c r="D48" s="291" t="s">
        <v>1312</v>
      </c>
      <c r="E48" s="2">
        <v>57.1</v>
      </c>
      <c r="F48" s="14" t="s">
        <v>1199</v>
      </c>
      <c r="G48" s="22" t="s">
        <v>173</v>
      </c>
      <c r="H48" s="8" t="s">
        <v>218</v>
      </c>
      <c r="I48" s="55">
        <v>3200</v>
      </c>
      <c r="J48" s="47" t="s">
        <v>69</v>
      </c>
      <c r="K48" s="38"/>
      <c r="L48" s="38"/>
      <c r="M48" s="38"/>
      <c r="N48" s="38"/>
      <c r="O48" s="39"/>
      <c r="P48" s="37"/>
      <c r="Q48" s="17"/>
    </row>
    <row r="49" spans="1:17" s="12" customFormat="1" ht="14.25" customHeight="1" thickBot="1">
      <c r="A49" s="75">
        <v>121</v>
      </c>
      <c r="B49" s="9" t="s">
        <v>73</v>
      </c>
      <c r="C49" s="114">
        <v>159</v>
      </c>
      <c r="D49" s="148" t="s">
        <v>724</v>
      </c>
      <c r="E49" s="3">
        <v>101.4</v>
      </c>
      <c r="F49" s="14" t="s">
        <v>1199</v>
      </c>
      <c r="G49" s="22" t="s">
        <v>173</v>
      </c>
      <c r="H49" s="8" t="s">
        <v>218</v>
      </c>
      <c r="I49" s="55">
        <v>3200</v>
      </c>
      <c r="J49" s="47" t="s">
        <v>69</v>
      </c>
      <c r="K49" s="38"/>
      <c r="L49" s="38"/>
      <c r="M49" s="38"/>
      <c r="N49" s="38"/>
      <c r="O49" s="39"/>
      <c r="P49" s="37"/>
      <c r="Q49" s="17"/>
    </row>
    <row r="50" spans="1:17" s="12" customFormat="1" ht="19.2" customHeight="1" thickBot="1">
      <c r="A50" s="75">
        <v>121</v>
      </c>
      <c r="B50" s="9" t="s">
        <v>73</v>
      </c>
      <c r="C50" s="114">
        <v>160</v>
      </c>
      <c r="D50" s="148" t="s">
        <v>725</v>
      </c>
      <c r="E50" s="2">
        <v>17.7</v>
      </c>
      <c r="F50" s="14" t="s">
        <v>1199</v>
      </c>
      <c r="G50" s="22" t="s">
        <v>173</v>
      </c>
      <c r="H50" s="8" t="s">
        <v>218</v>
      </c>
      <c r="I50" s="55">
        <v>3200</v>
      </c>
      <c r="J50" s="47" t="s">
        <v>69</v>
      </c>
      <c r="K50" s="38"/>
      <c r="L50" s="38"/>
      <c r="M50" s="38"/>
      <c r="N50" s="38"/>
      <c r="O50" s="39"/>
      <c r="P50" s="37"/>
      <c r="Q50" s="17"/>
    </row>
    <row r="51" spans="1:17" s="12" customFormat="1" ht="22.5" customHeight="1" thickBot="1">
      <c r="A51" s="75">
        <v>121</v>
      </c>
      <c r="B51" s="9" t="s">
        <v>73</v>
      </c>
      <c r="C51" s="114">
        <v>161</v>
      </c>
      <c r="D51" s="148" t="s">
        <v>726</v>
      </c>
      <c r="E51" s="1">
        <v>397.2</v>
      </c>
      <c r="F51" s="14" t="s">
        <v>1199</v>
      </c>
      <c r="G51" s="22" t="s">
        <v>173</v>
      </c>
      <c r="H51" s="8" t="s">
        <v>218</v>
      </c>
      <c r="I51" s="55">
        <v>3200</v>
      </c>
      <c r="J51" s="47" t="s">
        <v>69</v>
      </c>
      <c r="K51" s="38"/>
      <c r="L51" s="38"/>
      <c r="M51" s="38"/>
      <c r="N51" s="38"/>
      <c r="O51" s="39"/>
      <c r="P51" s="37"/>
      <c r="Q51" s="17"/>
    </row>
    <row r="52" spans="1:17" s="12" customFormat="1" ht="14.25" customHeight="1" thickBot="1">
      <c r="A52" s="75">
        <v>121</v>
      </c>
      <c r="B52" s="9" t="s">
        <v>73</v>
      </c>
      <c r="C52" s="110">
        <v>162</v>
      </c>
      <c r="D52" s="115" t="s">
        <v>727</v>
      </c>
      <c r="E52" s="2">
        <v>49.1</v>
      </c>
      <c r="F52" s="14" t="s">
        <v>1200</v>
      </c>
      <c r="G52" s="22" t="s">
        <v>173</v>
      </c>
      <c r="H52" s="8" t="s">
        <v>218</v>
      </c>
      <c r="I52" s="55">
        <v>3200</v>
      </c>
      <c r="J52" s="47" t="s">
        <v>69</v>
      </c>
      <c r="K52" s="38"/>
      <c r="L52" s="38"/>
      <c r="M52" s="38"/>
      <c r="N52" s="38"/>
      <c r="O52" s="39"/>
      <c r="P52" s="37"/>
      <c r="Q52" s="17"/>
    </row>
    <row r="53" spans="1:17" s="12" customFormat="1" ht="14.25" customHeight="1" thickBot="1">
      <c r="A53" s="75">
        <v>121</v>
      </c>
      <c r="B53" s="9" t="s">
        <v>73</v>
      </c>
      <c r="C53" s="110">
        <v>163</v>
      </c>
      <c r="D53" s="115" t="s">
        <v>728</v>
      </c>
      <c r="E53" s="2">
        <v>378.2</v>
      </c>
      <c r="F53" s="14" t="s">
        <v>1199</v>
      </c>
      <c r="G53" s="22" t="s">
        <v>173</v>
      </c>
      <c r="H53" s="8" t="s">
        <v>218</v>
      </c>
      <c r="I53" s="55">
        <v>3200</v>
      </c>
      <c r="J53" s="47" t="s">
        <v>69</v>
      </c>
      <c r="K53" s="38"/>
      <c r="L53" s="38"/>
      <c r="M53" s="38"/>
      <c r="N53" s="38"/>
      <c r="O53" s="39"/>
      <c r="P53" s="37"/>
      <c r="Q53" s="17"/>
    </row>
    <row r="54" spans="1:17" s="12" customFormat="1" ht="14.25" customHeight="1" thickBot="1">
      <c r="A54" s="75">
        <v>121</v>
      </c>
      <c r="B54" s="9" t="s">
        <v>73</v>
      </c>
      <c r="C54" s="111">
        <v>165</v>
      </c>
      <c r="D54" s="135" t="s">
        <v>729</v>
      </c>
      <c r="E54" s="2">
        <v>9.6999999999999993</v>
      </c>
      <c r="F54" s="14" t="s">
        <v>1199</v>
      </c>
      <c r="G54" s="22" t="s">
        <v>173</v>
      </c>
      <c r="H54" s="8" t="s">
        <v>218</v>
      </c>
      <c r="I54" s="55">
        <v>3200</v>
      </c>
      <c r="J54" s="47" t="s">
        <v>69</v>
      </c>
      <c r="K54" s="38"/>
      <c r="L54" s="38"/>
      <c r="M54" s="38"/>
      <c r="N54" s="38"/>
      <c r="O54" s="39"/>
      <c r="P54" s="37"/>
      <c r="Q54" s="17"/>
    </row>
    <row r="55" spans="1:17" s="12" customFormat="1" ht="14.25" customHeight="1" thickBot="1">
      <c r="A55" s="75">
        <v>121</v>
      </c>
      <c r="B55" s="9" t="s">
        <v>73</v>
      </c>
      <c r="C55" s="111">
        <v>166</v>
      </c>
      <c r="D55" s="149" t="s">
        <v>730</v>
      </c>
      <c r="E55" s="2">
        <v>12.8</v>
      </c>
      <c r="F55" s="14" t="s">
        <v>1199</v>
      </c>
      <c r="G55" s="22" t="s">
        <v>173</v>
      </c>
      <c r="H55" s="8" t="s">
        <v>218</v>
      </c>
      <c r="I55" s="55">
        <v>3200</v>
      </c>
      <c r="J55" s="47" t="s">
        <v>69</v>
      </c>
      <c r="K55" s="38"/>
      <c r="L55" s="38"/>
      <c r="M55" s="38"/>
      <c r="N55" s="38"/>
      <c r="O55" s="39"/>
      <c r="P55" s="37"/>
      <c r="Q55" s="17"/>
    </row>
    <row r="56" spans="1:17" s="12" customFormat="1" ht="14.25" customHeight="1" thickBot="1">
      <c r="A56" s="75">
        <v>121</v>
      </c>
      <c r="B56" s="9" t="s">
        <v>73</v>
      </c>
      <c r="C56" s="110">
        <v>167</v>
      </c>
      <c r="D56" s="115" t="s">
        <v>731</v>
      </c>
      <c r="E56" s="2">
        <v>12.6</v>
      </c>
      <c r="F56" s="14" t="s">
        <v>1199</v>
      </c>
      <c r="G56" s="22" t="s">
        <v>173</v>
      </c>
      <c r="H56" s="8" t="s">
        <v>218</v>
      </c>
      <c r="I56" s="55">
        <v>3200</v>
      </c>
      <c r="J56" s="47" t="s">
        <v>69</v>
      </c>
      <c r="K56" s="38"/>
      <c r="L56" s="38"/>
      <c r="M56" s="38"/>
      <c r="N56" s="38"/>
      <c r="O56" s="39"/>
      <c r="P56" s="37"/>
      <c r="Q56" s="17"/>
    </row>
    <row r="57" spans="1:17" s="12" customFormat="1" ht="14.25" customHeight="1" thickBot="1">
      <c r="A57" s="75">
        <v>121</v>
      </c>
      <c r="B57" s="9" t="s">
        <v>73</v>
      </c>
      <c r="C57" s="110">
        <v>168</v>
      </c>
      <c r="D57" s="115" t="s">
        <v>732</v>
      </c>
      <c r="E57" s="2">
        <v>17.399999999999999</v>
      </c>
      <c r="F57" s="14" t="s">
        <v>1199</v>
      </c>
      <c r="G57" s="22" t="s">
        <v>173</v>
      </c>
      <c r="H57" s="8" t="s">
        <v>218</v>
      </c>
      <c r="I57" s="55">
        <v>3200</v>
      </c>
      <c r="J57" s="47" t="s">
        <v>69</v>
      </c>
      <c r="K57" s="38"/>
      <c r="L57" s="38"/>
      <c r="M57" s="38"/>
      <c r="N57" s="38"/>
      <c r="O57" s="39"/>
      <c r="P57" s="37"/>
      <c r="Q57" s="17"/>
    </row>
    <row r="58" spans="1:17" s="12" customFormat="1" ht="14.25" customHeight="1" thickBot="1">
      <c r="A58" s="75">
        <v>121</v>
      </c>
      <c r="B58" s="9" t="s">
        <v>73</v>
      </c>
      <c r="C58" s="110">
        <v>169</v>
      </c>
      <c r="D58" s="115" t="s">
        <v>733</v>
      </c>
      <c r="E58" s="2">
        <v>149.9</v>
      </c>
      <c r="F58" s="14" t="s">
        <v>1199</v>
      </c>
      <c r="G58" s="22" t="s">
        <v>173</v>
      </c>
      <c r="H58" s="8" t="s">
        <v>218</v>
      </c>
      <c r="I58" s="55">
        <v>3200</v>
      </c>
      <c r="J58" s="47" t="s">
        <v>69</v>
      </c>
      <c r="K58" s="38"/>
      <c r="L58" s="38"/>
      <c r="M58" s="38"/>
      <c r="N58" s="38"/>
      <c r="O58" s="39"/>
      <c r="P58" s="37"/>
      <c r="Q58" s="17"/>
    </row>
    <row r="59" spans="1:17" s="12" customFormat="1" ht="16.95" customHeight="1" thickBot="1">
      <c r="A59" s="75">
        <v>121</v>
      </c>
      <c r="B59" s="9" t="s">
        <v>73</v>
      </c>
      <c r="C59" s="110">
        <v>170</v>
      </c>
      <c r="D59" s="133" t="s">
        <v>734</v>
      </c>
      <c r="E59" s="2">
        <v>9.9</v>
      </c>
      <c r="F59" s="14" t="s">
        <v>1199</v>
      </c>
      <c r="G59" s="22" t="s">
        <v>173</v>
      </c>
      <c r="H59" s="8" t="s">
        <v>218</v>
      </c>
      <c r="I59" s="55">
        <v>3200</v>
      </c>
      <c r="J59" s="47" t="s">
        <v>69</v>
      </c>
      <c r="K59" s="38"/>
      <c r="L59" s="38"/>
      <c r="M59" s="38"/>
      <c r="N59" s="38"/>
      <c r="O59" s="39"/>
      <c r="P59" s="37"/>
      <c r="Q59" s="17"/>
    </row>
    <row r="60" spans="1:17" s="12" customFormat="1" ht="14.25" customHeight="1" thickBot="1">
      <c r="A60" s="75">
        <v>121</v>
      </c>
      <c r="B60" s="9" t="s">
        <v>73</v>
      </c>
      <c r="C60" s="110">
        <v>171</v>
      </c>
      <c r="D60" s="115" t="s">
        <v>735</v>
      </c>
      <c r="E60" s="2">
        <v>127.4</v>
      </c>
      <c r="F60" s="14" t="s">
        <v>1199</v>
      </c>
      <c r="G60" s="22" t="s">
        <v>173</v>
      </c>
      <c r="H60" s="8" t="s">
        <v>218</v>
      </c>
      <c r="I60" s="55">
        <v>3200</v>
      </c>
      <c r="J60" s="47" t="s">
        <v>69</v>
      </c>
      <c r="K60" s="38"/>
      <c r="L60" s="38"/>
      <c r="M60" s="38"/>
      <c r="N60" s="38"/>
      <c r="O60" s="39"/>
      <c r="P60" s="37"/>
      <c r="Q60" s="17"/>
    </row>
    <row r="61" spans="1:17" s="12" customFormat="1" ht="18.75" customHeight="1" thickBot="1">
      <c r="A61" s="75">
        <v>121</v>
      </c>
      <c r="B61" s="9" t="s">
        <v>73</v>
      </c>
      <c r="C61" s="110">
        <v>172</v>
      </c>
      <c r="D61" s="133" t="s">
        <v>736</v>
      </c>
      <c r="E61" s="5">
        <v>19.2</v>
      </c>
      <c r="F61" s="14" t="s">
        <v>1199</v>
      </c>
      <c r="G61" s="22" t="s">
        <v>173</v>
      </c>
      <c r="H61" s="8" t="s">
        <v>218</v>
      </c>
      <c r="I61" s="55">
        <v>3200</v>
      </c>
      <c r="J61" s="47" t="s">
        <v>69</v>
      </c>
      <c r="K61" s="38"/>
      <c r="L61" s="38"/>
      <c r="M61" s="38"/>
      <c r="N61" s="38"/>
      <c r="O61" s="39"/>
      <c r="P61" s="37"/>
      <c r="Q61" s="17"/>
    </row>
    <row r="62" spans="1:17" s="12" customFormat="1" ht="14.25" customHeight="1" thickBot="1">
      <c r="A62" s="75">
        <v>121</v>
      </c>
      <c r="B62" s="9" t="s">
        <v>73</v>
      </c>
      <c r="C62" s="110">
        <v>173</v>
      </c>
      <c r="D62" s="115" t="s">
        <v>737</v>
      </c>
      <c r="E62" s="2">
        <v>152</v>
      </c>
      <c r="F62" s="14" t="s">
        <v>1199</v>
      </c>
      <c r="G62" s="22" t="s">
        <v>173</v>
      </c>
      <c r="H62" s="8" t="s">
        <v>218</v>
      </c>
      <c r="I62" s="55">
        <v>3200</v>
      </c>
      <c r="J62" s="47" t="s">
        <v>69</v>
      </c>
      <c r="K62" s="38"/>
      <c r="L62" s="38"/>
      <c r="M62" s="38"/>
      <c r="N62" s="38"/>
      <c r="O62" s="39"/>
      <c r="P62" s="37"/>
      <c r="Q62" s="17"/>
    </row>
    <row r="63" spans="1:17" s="12" customFormat="1" ht="14.25" customHeight="1" thickBot="1">
      <c r="A63" s="75">
        <v>121</v>
      </c>
      <c r="B63" s="9" t="s">
        <v>73</v>
      </c>
      <c r="C63" s="110">
        <v>175</v>
      </c>
      <c r="D63" s="115" t="s">
        <v>738</v>
      </c>
      <c r="E63" s="2">
        <v>33</v>
      </c>
      <c r="F63" s="14" t="s">
        <v>1199</v>
      </c>
      <c r="G63" s="22" t="s">
        <v>173</v>
      </c>
      <c r="H63" s="8" t="s">
        <v>218</v>
      </c>
      <c r="I63" s="55">
        <v>3200</v>
      </c>
      <c r="J63" s="47" t="s">
        <v>69</v>
      </c>
      <c r="K63" s="38"/>
      <c r="L63" s="38"/>
      <c r="M63" s="38"/>
      <c r="N63" s="38"/>
      <c r="O63" s="39"/>
      <c r="P63" s="37"/>
      <c r="Q63" s="17"/>
    </row>
    <row r="64" spans="1:17" s="12" customFormat="1" ht="14.25" customHeight="1" thickBot="1">
      <c r="A64" s="75">
        <v>121</v>
      </c>
      <c r="B64" s="9" t="s">
        <v>73</v>
      </c>
      <c r="C64" s="110">
        <v>176</v>
      </c>
      <c r="D64" s="133" t="s">
        <v>739</v>
      </c>
      <c r="E64" s="2">
        <v>29.4</v>
      </c>
      <c r="F64" s="14" t="s">
        <v>1199</v>
      </c>
      <c r="G64" s="22" t="s">
        <v>173</v>
      </c>
      <c r="H64" s="8" t="s">
        <v>218</v>
      </c>
      <c r="I64" s="55">
        <v>3200</v>
      </c>
      <c r="J64" s="47" t="s">
        <v>69</v>
      </c>
      <c r="K64" s="38"/>
      <c r="L64" s="38"/>
      <c r="M64" s="38"/>
      <c r="N64" s="38"/>
      <c r="O64" s="39"/>
      <c r="P64" s="37"/>
      <c r="Q64" s="17"/>
    </row>
    <row r="65" spans="1:17" s="12" customFormat="1" ht="14.25" customHeight="1" thickBot="1">
      <c r="A65" s="75">
        <v>121</v>
      </c>
      <c r="B65" s="9" t="s">
        <v>73</v>
      </c>
      <c r="C65" s="110">
        <v>177</v>
      </c>
      <c r="D65" s="133" t="s">
        <v>740</v>
      </c>
      <c r="E65" s="1">
        <v>19.5</v>
      </c>
      <c r="F65" s="14" t="s">
        <v>1199</v>
      </c>
      <c r="G65" s="22" t="s">
        <v>173</v>
      </c>
      <c r="H65" s="8" t="s">
        <v>218</v>
      </c>
      <c r="I65" s="55">
        <v>3200</v>
      </c>
      <c r="J65" s="47" t="s">
        <v>69</v>
      </c>
      <c r="K65" s="38"/>
      <c r="L65" s="38"/>
      <c r="M65" s="38"/>
      <c r="N65" s="38"/>
      <c r="O65" s="39"/>
      <c r="P65" s="37"/>
      <c r="Q65" s="17"/>
    </row>
    <row r="66" spans="1:17" s="12" customFormat="1" ht="14.25" customHeight="1" thickBot="1">
      <c r="A66" s="75">
        <v>121</v>
      </c>
      <c r="B66" s="9" t="s">
        <v>73</v>
      </c>
      <c r="C66" s="110">
        <v>178</v>
      </c>
      <c r="D66" s="133" t="s">
        <v>741</v>
      </c>
      <c r="E66" s="5">
        <v>30.1</v>
      </c>
      <c r="F66" s="14" t="s">
        <v>1199</v>
      </c>
      <c r="G66" s="22" t="s">
        <v>173</v>
      </c>
      <c r="H66" s="8" t="s">
        <v>218</v>
      </c>
      <c r="I66" s="55">
        <v>3200</v>
      </c>
      <c r="J66" s="47" t="s">
        <v>69</v>
      </c>
      <c r="K66" s="38"/>
      <c r="L66" s="38"/>
      <c r="M66" s="38"/>
      <c r="N66" s="38"/>
      <c r="O66" s="39"/>
      <c r="P66" s="37"/>
      <c r="Q66" s="17"/>
    </row>
    <row r="67" spans="1:17" s="13" customFormat="1" ht="14.25" customHeight="1" thickBot="1">
      <c r="A67" s="75">
        <v>121</v>
      </c>
      <c r="B67" s="9" t="s">
        <v>73</v>
      </c>
      <c r="C67" s="110">
        <v>179</v>
      </c>
      <c r="D67" s="115" t="s">
        <v>728</v>
      </c>
      <c r="E67" s="7">
        <v>424.8</v>
      </c>
      <c r="F67" s="14" t="s">
        <v>1199</v>
      </c>
      <c r="G67" s="22" t="s">
        <v>173</v>
      </c>
      <c r="H67" s="8" t="s">
        <v>218</v>
      </c>
      <c r="I67" s="55">
        <v>3200</v>
      </c>
      <c r="J67" s="47" t="s">
        <v>69</v>
      </c>
      <c r="K67" s="38"/>
      <c r="L67" s="38"/>
      <c r="M67" s="38"/>
      <c r="N67" s="38"/>
      <c r="O67" s="39"/>
      <c r="P67" s="37"/>
      <c r="Q67" s="26"/>
    </row>
    <row r="68" spans="1:17" s="13" customFormat="1" ht="14.25" customHeight="1" thickBot="1">
      <c r="A68" s="75">
        <v>121</v>
      </c>
      <c r="B68" s="9" t="s">
        <v>73</v>
      </c>
      <c r="C68" s="110">
        <v>180</v>
      </c>
      <c r="D68" s="115" t="s">
        <v>715</v>
      </c>
      <c r="E68" s="7">
        <v>6.8</v>
      </c>
      <c r="F68" s="14" t="s">
        <v>1199</v>
      </c>
      <c r="G68" s="22" t="s">
        <v>173</v>
      </c>
      <c r="H68" s="8" t="s">
        <v>218</v>
      </c>
      <c r="I68" s="55">
        <v>3200</v>
      </c>
      <c r="J68" s="47" t="s">
        <v>69</v>
      </c>
      <c r="K68" s="38"/>
      <c r="L68" s="38"/>
      <c r="M68" s="38"/>
      <c r="N68" s="38"/>
      <c r="O68" s="39"/>
      <c r="P68" s="37"/>
      <c r="Q68" s="26"/>
    </row>
    <row r="69" spans="1:17" s="13" customFormat="1" ht="14.25" customHeight="1" thickBot="1">
      <c r="A69" s="75">
        <v>121</v>
      </c>
      <c r="B69" s="9" t="s">
        <v>73</v>
      </c>
      <c r="C69" s="110">
        <v>181</v>
      </c>
      <c r="D69" s="115" t="s">
        <v>742</v>
      </c>
      <c r="E69" s="7">
        <v>22.5</v>
      </c>
      <c r="F69" s="14" t="s">
        <v>1199</v>
      </c>
      <c r="G69" s="22" t="s">
        <v>173</v>
      </c>
      <c r="H69" s="8" t="s">
        <v>218</v>
      </c>
      <c r="I69" s="55">
        <v>3200</v>
      </c>
      <c r="J69" s="47" t="s">
        <v>69</v>
      </c>
      <c r="K69" s="38"/>
      <c r="L69" s="38"/>
      <c r="M69" s="38"/>
      <c r="N69" s="38"/>
      <c r="O69" s="39"/>
      <c r="P69" s="37"/>
      <c r="Q69" s="26"/>
    </row>
    <row r="70" spans="1:17" s="12" customFormat="1" ht="14.25" customHeight="1" thickBot="1">
      <c r="A70" s="75">
        <v>121</v>
      </c>
      <c r="B70" s="9" t="s">
        <v>73</v>
      </c>
      <c r="C70" s="110">
        <v>182</v>
      </c>
      <c r="D70" s="115" t="s">
        <v>743</v>
      </c>
      <c r="E70" s="1">
        <v>25.5</v>
      </c>
      <c r="F70" s="14" t="s">
        <v>1199</v>
      </c>
      <c r="G70" s="22" t="s">
        <v>173</v>
      </c>
      <c r="H70" s="8" t="s">
        <v>218</v>
      </c>
      <c r="I70" s="55">
        <v>3200</v>
      </c>
      <c r="J70" s="47" t="s">
        <v>69</v>
      </c>
      <c r="K70" s="38"/>
      <c r="L70" s="38"/>
      <c r="M70" s="38"/>
      <c r="N70" s="38"/>
      <c r="O70" s="39"/>
      <c r="P70" s="37"/>
      <c r="Q70" s="17"/>
    </row>
    <row r="71" spans="1:17" s="12" customFormat="1" ht="14.25" customHeight="1" thickBot="1">
      <c r="A71" s="75">
        <v>121</v>
      </c>
      <c r="B71" s="9" t="s">
        <v>73</v>
      </c>
      <c r="C71" s="110">
        <v>183</v>
      </c>
      <c r="D71" s="115" t="s">
        <v>744</v>
      </c>
      <c r="E71" s="1">
        <v>19.899999999999999</v>
      </c>
      <c r="F71" s="14" t="s">
        <v>1199</v>
      </c>
      <c r="G71" s="22" t="s">
        <v>173</v>
      </c>
      <c r="H71" s="8" t="s">
        <v>218</v>
      </c>
      <c r="I71" s="55">
        <v>3200</v>
      </c>
      <c r="J71" s="47" t="s">
        <v>69</v>
      </c>
      <c r="K71" s="38"/>
      <c r="L71" s="38"/>
      <c r="M71" s="38"/>
      <c r="N71" s="38"/>
      <c r="O71" s="39"/>
      <c r="P71" s="37"/>
      <c r="Q71" s="17"/>
    </row>
    <row r="72" spans="1:17" s="303" customFormat="1" ht="14.25" customHeight="1" thickBot="1">
      <c r="A72" s="293">
        <v>121</v>
      </c>
      <c r="B72" s="294" t="s">
        <v>1083</v>
      </c>
      <c r="C72" s="295">
        <v>185</v>
      </c>
      <c r="D72" s="313" t="s">
        <v>1313</v>
      </c>
      <c r="E72" s="296">
        <v>18.899999999999999</v>
      </c>
      <c r="F72" s="297" t="s">
        <v>1187</v>
      </c>
      <c r="G72" s="285" t="s">
        <v>1189</v>
      </c>
      <c r="H72" s="285" t="s">
        <v>102</v>
      </c>
      <c r="I72" s="285">
        <v>5000</v>
      </c>
      <c r="J72" s="298" t="s">
        <v>1133</v>
      </c>
      <c r="K72" s="299"/>
      <c r="L72" s="299"/>
      <c r="M72" s="299"/>
      <c r="N72" s="299"/>
      <c r="O72" s="300"/>
      <c r="P72" s="301"/>
      <c r="Q72" s="302"/>
    </row>
    <row r="73" spans="1:17" s="12" customFormat="1" ht="14.25" customHeight="1" thickBot="1">
      <c r="A73" s="75">
        <v>121</v>
      </c>
      <c r="B73" s="9" t="s">
        <v>73</v>
      </c>
      <c r="C73" s="110">
        <v>186</v>
      </c>
      <c r="D73" s="115" t="s">
        <v>720</v>
      </c>
      <c r="E73" s="1">
        <v>11.2</v>
      </c>
      <c r="F73" s="14" t="s">
        <v>1199</v>
      </c>
      <c r="G73" s="22" t="s">
        <v>173</v>
      </c>
      <c r="H73" s="8" t="s">
        <v>218</v>
      </c>
      <c r="I73" s="55">
        <v>3200</v>
      </c>
      <c r="J73" s="47" t="s">
        <v>69</v>
      </c>
      <c r="K73" s="38"/>
      <c r="L73" s="38"/>
      <c r="M73" s="38"/>
      <c r="N73" s="38"/>
      <c r="O73" s="39"/>
      <c r="P73" s="37"/>
      <c r="Q73" s="17"/>
    </row>
    <row r="74" spans="1:17" s="12" customFormat="1" ht="14.25" customHeight="1" thickBot="1">
      <c r="A74" s="75">
        <v>121</v>
      </c>
      <c r="B74" s="9" t="s">
        <v>73</v>
      </c>
      <c r="C74" s="110">
        <v>187</v>
      </c>
      <c r="D74" s="133" t="s">
        <v>745</v>
      </c>
      <c r="E74" s="1">
        <v>3.7</v>
      </c>
      <c r="F74" s="14" t="s">
        <v>1199</v>
      </c>
      <c r="G74" s="22" t="s">
        <v>173</v>
      </c>
      <c r="H74" s="8" t="s">
        <v>218</v>
      </c>
      <c r="I74" s="55">
        <v>3200</v>
      </c>
      <c r="J74" s="47" t="s">
        <v>69</v>
      </c>
      <c r="K74" s="38"/>
      <c r="L74" s="38"/>
      <c r="M74" s="38"/>
      <c r="N74" s="38"/>
      <c r="O74" s="39"/>
      <c r="P74" s="37"/>
      <c r="Q74" s="17"/>
    </row>
    <row r="75" spans="1:17" s="12" customFormat="1" ht="14.25" customHeight="1" thickBot="1">
      <c r="A75" s="75">
        <v>121</v>
      </c>
      <c r="B75" s="9" t="s">
        <v>73</v>
      </c>
      <c r="C75" s="111">
        <v>188</v>
      </c>
      <c r="D75" s="140" t="s">
        <v>746</v>
      </c>
      <c r="E75" s="2">
        <v>25.4</v>
      </c>
      <c r="F75" s="14" t="s">
        <v>1199</v>
      </c>
      <c r="G75" s="22" t="s">
        <v>173</v>
      </c>
      <c r="H75" s="8" t="s">
        <v>218</v>
      </c>
      <c r="I75" s="55">
        <v>3200</v>
      </c>
      <c r="J75" s="47" t="s">
        <v>69</v>
      </c>
      <c r="K75" s="38"/>
      <c r="L75" s="38"/>
      <c r="M75" s="38"/>
      <c r="N75" s="38"/>
      <c r="O75" s="39"/>
      <c r="P75" s="37"/>
      <c r="Q75" s="17"/>
    </row>
    <row r="76" spans="1:17" s="12" customFormat="1" ht="14.25" customHeight="1" thickBot="1">
      <c r="A76" s="75">
        <v>121</v>
      </c>
      <c r="B76" s="9" t="s">
        <v>73</v>
      </c>
      <c r="C76" s="111">
        <v>189</v>
      </c>
      <c r="D76" s="139" t="s">
        <v>747</v>
      </c>
      <c r="E76" s="1">
        <v>31.8</v>
      </c>
      <c r="F76" s="14" t="s">
        <v>1199</v>
      </c>
      <c r="G76" s="22" t="s">
        <v>173</v>
      </c>
      <c r="H76" s="8" t="s">
        <v>218</v>
      </c>
      <c r="I76" s="55">
        <v>3200</v>
      </c>
      <c r="J76" s="47" t="s">
        <v>69</v>
      </c>
      <c r="K76" s="38"/>
      <c r="L76" s="38"/>
      <c r="M76" s="38"/>
      <c r="N76" s="38"/>
      <c r="O76" s="39"/>
      <c r="P76" s="37"/>
      <c r="Q76" s="17"/>
    </row>
    <row r="77" spans="1:17" s="12" customFormat="1" ht="14.25" customHeight="1" thickBot="1">
      <c r="A77" s="75">
        <v>121</v>
      </c>
      <c r="B77" s="9" t="s">
        <v>73</v>
      </c>
      <c r="C77" s="111">
        <v>190</v>
      </c>
      <c r="D77" s="149" t="s">
        <v>748</v>
      </c>
      <c r="E77" s="2">
        <v>6</v>
      </c>
      <c r="F77" s="14" t="s">
        <v>1199</v>
      </c>
      <c r="G77" s="22" t="s">
        <v>173</v>
      </c>
      <c r="H77" s="8" t="s">
        <v>218</v>
      </c>
      <c r="I77" s="55">
        <v>3200</v>
      </c>
      <c r="J77" s="47" t="s">
        <v>69</v>
      </c>
      <c r="K77" s="38"/>
      <c r="L77" s="38"/>
      <c r="M77" s="38"/>
      <c r="N77" s="38"/>
      <c r="O77" s="39"/>
      <c r="P77" s="37"/>
      <c r="Q77" s="17"/>
    </row>
    <row r="78" spans="1:17" s="12" customFormat="1" ht="13.8" customHeight="1" thickBot="1">
      <c r="A78" s="75">
        <v>121</v>
      </c>
      <c r="B78" s="9" t="s">
        <v>73</v>
      </c>
      <c r="C78" s="114">
        <v>191</v>
      </c>
      <c r="D78" s="147" t="s">
        <v>749</v>
      </c>
      <c r="E78" s="1">
        <v>6.3</v>
      </c>
      <c r="F78" s="14" t="s">
        <v>1185</v>
      </c>
      <c r="G78" s="8" t="s">
        <v>1189</v>
      </c>
      <c r="H78" s="8" t="s">
        <v>1171</v>
      </c>
      <c r="I78" s="8" t="s">
        <v>1191</v>
      </c>
      <c r="J78" s="47" t="s">
        <v>67</v>
      </c>
      <c r="K78" s="38"/>
      <c r="L78" s="38"/>
      <c r="M78" s="38"/>
      <c r="N78" s="38"/>
      <c r="O78" s="39"/>
      <c r="P78" s="37"/>
      <c r="Q78" s="17"/>
    </row>
    <row r="79" spans="1:17" s="12" customFormat="1" ht="14.25" customHeight="1" thickBot="1">
      <c r="A79" s="75">
        <v>121</v>
      </c>
      <c r="B79" s="9" t="s">
        <v>73</v>
      </c>
      <c r="C79" s="114">
        <v>192</v>
      </c>
      <c r="D79" s="147" t="s">
        <v>1086</v>
      </c>
      <c r="E79" s="1">
        <v>2.4</v>
      </c>
      <c r="F79" s="14" t="s">
        <v>1185</v>
      </c>
      <c r="G79" s="8" t="s">
        <v>101</v>
      </c>
      <c r="H79" s="8" t="s">
        <v>219</v>
      </c>
      <c r="I79" s="8" t="s">
        <v>76</v>
      </c>
      <c r="J79" s="47" t="s">
        <v>67</v>
      </c>
      <c r="K79" s="38"/>
      <c r="L79" s="38"/>
      <c r="M79" s="38"/>
      <c r="N79" s="38"/>
      <c r="O79" s="39"/>
      <c r="P79" s="37"/>
      <c r="Q79" s="17"/>
    </row>
    <row r="80" spans="1:17" s="12" customFormat="1" ht="14.25" customHeight="1" thickBot="1">
      <c r="A80" s="75">
        <v>121</v>
      </c>
      <c r="B80" s="9" t="s">
        <v>73</v>
      </c>
      <c r="C80" s="114">
        <v>193</v>
      </c>
      <c r="D80" s="148" t="s">
        <v>1273</v>
      </c>
      <c r="E80" s="1"/>
      <c r="F80" s="14"/>
      <c r="G80" s="8"/>
      <c r="H80" s="8"/>
      <c r="I80" s="8"/>
      <c r="J80" s="47"/>
      <c r="K80" s="38"/>
      <c r="L80" s="38"/>
      <c r="M80" s="38"/>
      <c r="N80" s="38"/>
      <c r="O80" s="39"/>
      <c r="P80" s="37"/>
      <c r="Q80" s="17"/>
    </row>
    <row r="81" spans="1:21" s="12" customFormat="1" ht="14.25" customHeight="1" thickBot="1">
      <c r="A81" s="75">
        <v>121</v>
      </c>
      <c r="B81" s="9" t="s">
        <v>73</v>
      </c>
      <c r="C81" s="114">
        <v>195</v>
      </c>
      <c r="D81" s="147" t="s">
        <v>1086</v>
      </c>
      <c r="E81" s="1"/>
      <c r="F81" s="14"/>
      <c r="G81" s="8"/>
      <c r="H81" s="8"/>
      <c r="I81" s="8"/>
      <c r="J81" s="47"/>
      <c r="K81" s="38"/>
      <c r="L81" s="38"/>
      <c r="M81" s="38"/>
      <c r="N81" s="38"/>
      <c r="O81" s="39"/>
      <c r="P81" s="37"/>
      <c r="Q81" s="17"/>
    </row>
    <row r="82" spans="1:21" s="12" customFormat="1" ht="14.25" customHeight="1" thickBot="1">
      <c r="A82" s="75">
        <v>121</v>
      </c>
      <c r="B82" s="9" t="s">
        <v>73</v>
      </c>
      <c r="C82" s="114">
        <v>196</v>
      </c>
      <c r="D82" s="147" t="s">
        <v>1086</v>
      </c>
      <c r="E82" s="1"/>
      <c r="F82" s="14"/>
      <c r="G82" s="8"/>
      <c r="H82" s="8"/>
      <c r="I82" s="8"/>
      <c r="J82" s="47"/>
      <c r="K82" s="38"/>
      <c r="L82" s="38"/>
      <c r="M82" s="38"/>
      <c r="N82" s="38"/>
      <c r="O82" s="39"/>
      <c r="P82" s="37"/>
      <c r="Q82" s="17"/>
    </row>
    <row r="83" spans="1:21" s="12" customFormat="1" ht="13.8" customHeight="1" thickBot="1">
      <c r="A83" s="75">
        <v>121</v>
      </c>
      <c r="B83" s="9" t="s">
        <v>73</v>
      </c>
      <c r="C83" s="114">
        <v>197</v>
      </c>
      <c r="D83" s="148" t="s">
        <v>1274</v>
      </c>
      <c r="E83" s="1"/>
      <c r="F83" s="14"/>
      <c r="G83" s="8"/>
      <c r="H83" s="8"/>
      <c r="I83" s="8"/>
      <c r="J83" s="47"/>
      <c r="K83" s="38"/>
      <c r="L83" s="38"/>
      <c r="M83" s="38"/>
      <c r="N83" s="38"/>
      <c r="O83" s="39"/>
      <c r="P83" s="37"/>
      <c r="Q83" s="17"/>
    </row>
    <row r="84" spans="1:21" s="12" customFormat="1" ht="13.8" customHeight="1" thickBot="1">
      <c r="A84" s="75">
        <v>121</v>
      </c>
      <c r="B84" s="9" t="s">
        <v>73</v>
      </c>
      <c r="C84" s="114">
        <v>198</v>
      </c>
      <c r="D84" s="148" t="s">
        <v>1275</v>
      </c>
      <c r="E84" s="1"/>
      <c r="F84" s="14"/>
      <c r="G84" s="8"/>
      <c r="H84" s="8"/>
      <c r="I84" s="8"/>
      <c r="J84" s="47"/>
      <c r="K84" s="38"/>
      <c r="L84" s="38"/>
      <c r="M84" s="38"/>
      <c r="N84" s="38"/>
      <c r="O84" s="39"/>
      <c r="P84" s="37"/>
      <c r="Q84" s="17"/>
    </row>
    <row r="85" spans="1:21" s="191" customFormat="1" ht="14.25" customHeight="1" thickBot="1">
      <c r="A85" s="179">
        <v>113</v>
      </c>
      <c r="B85" s="180" t="s">
        <v>73</v>
      </c>
      <c r="C85" s="181"/>
      <c r="D85" s="182" t="s">
        <v>935</v>
      </c>
      <c r="E85" s="221">
        <v>7800.5</v>
      </c>
      <c r="F85" s="222"/>
      <c r="G85" s="223"/>
      <c r="H85" s="223"/>
      <c r="I85" s="223"/>
      <c r="J85" s="223"/>
      <c r="K85" s="224"/>
      <c r="L85" s="186"/>
      <c r="M85" s="186"/>
      <c r="N85" s="186"/>
      <c r="O85" s="187"/>
      <c r="P85" s="187"/>
      <c r="Q85" s="187"/>
      <c r="R85" s="187"/>
      <c r="S85" s="188"/>
      <c r="T85" s="189"/>
      <c r="U85" s="190"/>
    </row>
    <row r="86" spans="1:21" s="12" customFormat="1" ht="14.25" customHeight="1" thickBot="1">
      <c r="A86" s="75">
        <v>121</v>
      </c>
      <c r="B86" s="9" t="s">
        <v>256</v>
      </c>
      <c r="C86" s="111">
        <v>201</v>
      </c>
      <c r="D86" s="139" t="s">
        <v>751</v>
      </c>
      <c r="E86" s="1">
        <v>32.299999999999997</v>
      </c>
      <c r="F86" s="24" t="s">
        <v>1192</v>
      </c>
      <c r="G86" s="22" t="s">
        <v>101</v>
      </c>
      <c r="H86" s="8" t="s">
        <v>219</v>
      </c>
      <c r="I86" s="54" t="s">
        <v>38</v>
      </c>
      <c r="J86" s="57" t="s">
        <v>1193</v>
      </c>
      <c r="K86" s="38"/>
      <c r="L86" s="38"/>
      <c r="M86" s="38"/>
      <c r="N86" s="38"/>
      <c r="O86" s="39"/>
      <c r="P86" s="37"/>
      <c r="Q86" s="17"/>
    </row>
    <row r="87" spans="1:21" s="12" customFormat="1" ht="14.25" customHeight="1" thickBot="1">
      <c r="A87" s="75">
        <v>121</v>
      </c>
      <c r="B87" s="9" t="s">
        <v>256</v>
      </c>
      <c r="C87" s="111">
        <v>202</v>
      </c>
      <c r="D87" s="161" t="s">
        <v>752</v>
      </c>
      <c r="E87" s="1">
        <v>29.4</v>
      </c>
      <c r="F87" s="14" t="s">
        <v>1187</v>
      </c>
      <c r="G87" s="8" t="s">
        <v>101</v>
      </c>
      <c r="H87" s="8" t="s">
        <v>218</v>
      </c>
      <c r="I87" s="8">
        <v>2800</v>
      </c>
      <c r="J87" s="47" t="s">
        <v>67</v>
      </c>
      <c r="K87" s="38"/>
      <c r="L87" s="38"/>
      <c r="M87" s="38"/>
      <c r="N87" s="38"/>
      <c r="O87" s="39"/>
      <c r="P87" s="37"/>
      <c r="Q87" s="17"/>
    </row>
    <row r="88" spans="1:21" s="12" customFormat="1" ht="14.25" customHeight="1" thickBot="1">
      <c r="A88" s="75">
        <v>121</v>
      </c>
      <c r="B88" s="9" t="s">
        <v>256</v>
      </c>
      <c r="C88" s="110">
        <v>203</v>
      </c>
      <c r="D88" s="133" t="s">
        <v>753</v>
      </c>
      <c r="E88" s="1">
        <v>34.299999999999997</v>
      </c>
      <c r="F88" s="14" t="s">
        <v>1210</v>
      </c>
      <c r="G88" s="22" t="s">
        <v>101</v>
      </c>
      <c r="H88" s="8" t="s">
        <v>219</v>
      </c>
      <c r="I88" s="54" t="s">
        <v>38</v>
      </c>
      <c r="J88" s="49" t="s">
        <v>1211</v>
      </c>
      <c r="K88" s="38"/>
      <c r="L88" s="38"/>
      <c r="M88" s="38"/>
      <c r="N88" s="38"/>
      <c r="O88" s="39"/>
      <c r="P88" s="37"/>
      <c r="Q88" s="17"/>
    </row>
    <row r="89" spans="1:21" s="12" customFormat="1" ht="14.25" customHeight="1" thickBot="1">
      <c r="A89" s="75">
        <v>121</v>
      </c>
      <c r="B89" s="9" t="s">
        <v>256</v>
      </c>
      <c r="C89" s="110">
        <v>205</v>
      </c>
      <c r="D89" s="115" t="s">
        <v>754</v>
      </c>
      <c r="E89" s="1">
        <v>9.8000000000000007</v>
      </c>
      <c r="F89" s="14" t="s">
        <v>1187</v>
      </c>
      <c r="G89" s="8" t="s">
        <v>101</v>
      </c>
      <c r="H89" s="8" t="s">
        <v>219</v>
      </c>
      <c r="I89" s="8">
        <v>2800</v>
      </c>
      <c r="J89" s="47" t="s">
        <v>67</v>
      </c>
      <c r="K89" s="38"/>
      <c r="L89" s="38"/>
      <c r="M89" s="38"/>
      <c r="N89" s="38"/>
      <c r="O89" s="39"/>
      <c r="P89" s="37"/>
      <c r="Q89" s="17"/>
    </row>
    <row r="90" spans="1:21" s="12" customFormat="1" ht="14.25" customHeight="1" thickBot="1">
      <c r="A90" s="75">
        <v>121</v>
      </c>
      <c r="B90" s="9" t="s">
        <v>256</v>
      </c>
      <c r="C90" s="110">
        <v>206</v>
      </c>
      <c r="D90" s="133" t="s">
        <v>755</v>
      </c>
      <c r="E90" s="2">
        <v>49.1</v>
      </c>
      <c r="F90" s="14" t="s">
        <v>1201</v>
      </c>
      <c r="G90" s="22"/>
      <c r="H90" s="8"/>
      <c r="I90" s="54"/>
      <c r="J90" s="49"/>
      <c r="K90" s="38"/>
      <c r="L90" s="38"/>
      <c r="M90" s="38"/>
      <c r="N90" s="38"/>
      <c r="O90" s="39"/>
      <c r="P90" s="37"/>
      <c r="Q90" s="17"/>
    </row>
    <row r="91" spans="1:21" s="12" customFormat="1" ht="14.25" customHeight="1" thickBot="1">
      <c r="A91" s="75">
        <v>121</v>
      </c>
      <c r="B91" s="9" t="s">
        <v>256</v>
      </c>
      <c r="C91" s="110">
        <v>207</v>
      </c>
      <c r="D91" s="115" t="s">
        <v>754</v>
      </c>
      <c r="E91" s="1">
        <v>38</v>
      </c>
      <c r="F91" s="14"/>
      <c r="G91" s="8"/>
      <c r="H91" s="8"/>
      <c r="I91" s="8"/>
      <c r="J91" s="49"/>
      <c r="K91" s="38"/>
      <c r="L91" s="38"/>
      <c r="M91" s="38"/>
      <c r="N91" s="38"/>
      <c r="O91" s="39"/>
      <c r="P91" s="37"/>
      <c r="Q91" s="17"/>
    </row>
    <row r="92" spans="1:21" s="12" customFormat="1" ht="14.25" customHeight="1" thickBot="1">
      <c r="A92" s="75">
        <v>121</v>
      </c>
      <c r="B92" s="9" t="s">
        <v>256</v>
      </c>
      <c r="C92" s="110">
        <v>208</v>
      </c>
      <c r="D92" s="145" t="s">
        <v>756</v>
      </c>
      <c r="E92" s="1">
        <v>23.4</v>
      </c>
      <c r="F92" s="14" t="s">
        <v>1210</v>
      </c>
      <c r="G92" s="22" t="s">
        <v>101</v>
      </c>
      <c r="H92" s="8" t="s">
        <v>218</v>
      </c>
      <c r="I92" s="54">
        <v>3000</v>
      </c>
      <c r="J92" s="49" t="s">
        <v>1211</v>
      </c>
      <c r="K92" s="38"/>
      <c r="L92" s="38"/>
      <c r="M92" s="38"/>
      <c r="N92" s="38"/>
      <c r="O92" s="39"/>
      <c r="P92" s="37"/>
      <c r="Q92" s="17"/>
    </row>
    <row r="93" spans="1:21" s="12" customFormat="1" ht="14.25" customHeight="1" thickBot="1">
      <c r="A93" s="75">
        <v>121</v>
      </c>
      <c r="B93" s="9" t="s">
        <v>256</v>
      </c>
      <c r="C93" s="110">
        <v>209</v>
      </c>
      <c r="D93" s="115" t="s">
        <v>757</v>
      </c>
      <c r="E93" s="1">
        <v>115.8</v>
      </c>
      <c r="F93" s="14" t="s">
        <v>1212</v>
      </c>
      <c r="G93" s="22" t="s">
        <v>101</v>
      </c>
      <c r="H93" s="8" t="s">
        <v>218</v>
      </c>
      <c r="I93" s="8">
        <v>2800</v>
      </c>
      <c r="J93" s="49" t="s">
        <v>1213</v>
      </c>
      <c r="K93" s="38"/>
      <c r="L93" s="38"/>
      <c r="M93" s="38"/>
      <c r="N93" s="38"/>
      <c r="O93" s="39"/>
      <c r="P93" s="37"/>
      <c r="Q93" s="17"/>
    </row>
    <row r="94" spans="1:21" s="12" customFormat="1" ht="14.25" customHeight="1" thickBot="1">
      <c r="A94" s="75">
        <v>121</v>
      </c>
      <c r="B94" s="9" t="s">
        <v>256</v>
      </c>
      <c r="C94" s="110">
        <v>210</v>
      </c>
      <c r="D94" s="133" t="s">
        <v>758</v>
      </c>
      <c r="E94" s="1">
        <v>146.80000000000001</v>
      </c>
      <c r="F94" s="14" t="s">
        <v>1214</v>
      </c>
      <c r="G94" s="22" t="s">
        <v>101</v>
      </c>
      <c r="H94" s="8" t="s">
        <v>218</v>
      </c>
      <c r="I94" s="8">
        <v>2800</v>
      </c>
      <c r="J94" s="49" t="s">
        <v>1213</v>
      </c>
      <c r="K94" s="38"/>
      <c r="L94" s="38"/>
      <c r="M94" s="38"/>
      <c r="N94" s="38"/>
      <c r="O94" s="39"/>
      <c r="P94" s="37"/>
      <c r="Q94" s="17"/>
    </row>
    <row r="95" spans="1:21" s="12" customFormat="1" ht="14.25" customHeight="1" thickBot="1">
      <c r="A95" s="75">
        <v>121</v>
      </c>
      <c r="B95" s="9" t="s">
        <v>256</v>
      </c>
      <c r="C95" s="111">
        <v>211</v>
      </c>
      <c r="D95" s="139" t="s">
        <v>759</v>
      </c>
      <c r="E95" s="1">
        <v>32.299999999999997</v>
      </c>
      <c r="F95" s="24" t="s">
        <v>1192</v>
      </c>
      <c r="G95" s="22" t="s">
        <v>101</v>
      </c>
      <c r="H95" s="8" t="s">
        <v>219</v>
      </c>
      <c r="I95" s="54" t="s">
        <v>38</v>
      </c>
      <c r="J95" s="57" t="s">
        <v>1193</v>
      </c>
      <c r="K95" s="38"/>
      <c r="L95" s="38"/>
      <c r="M95" s="38"/>
      <c r="N95" s="38"/>
      <c r="O95" s="39"/>
      <c r="P95" s="37"/>
      <c r="Q95" s="17"/>
    </row>
    <row r="96" spans="1:21" s="12" customFormat="1" ht="14.25" customHeight="1" thickBot="1">
      <c r="A96" s="75">
        <v>121</v>
      </c>
      <c r="B96" s="9" t="s">
        <v>256</v>
      </c>
      <c r="C96" s="111">
        <v>212</v>
      </c>
      <c r="D96" s="304" t="s">
        <v>1314</v>
      </c>
      <c r="E96" s="213">
        <v>150.80000000000001</v>
      </c>
      <c r="F96" s="14"/>
      <c r="G96" s="8"/>
      <c r="H96" s="8"/>
      <c r="I96" s="8"/>
      <c r="J96" s="49"/>
      <c r="K96" s="38"/>
      <c r="L96" s="38"/>
      <c r="M96" s="38"/>
      <c r="N96" s="38"/>
      <c r="O96" s="39"/>
      <c r="P96" s="37"/>
      <c r="Q96" s="17"/>
    </row>
    <row r="97" spans="1:21" s="12" customFormat="1" ht="14.25" customHeight="1" thickBot="1">
      <c r="A97" s="75">
        <v>121</v>
      </c>
      <c r="B97" s="9" t="s">
        <v>256</v>
      </c>
      <c r="C97" s="111" t="s">
        <v>750</v>
      </c>
      <c r="D97" s="139" t="s">
        <v>760</v>
      </c>
      <c r="E97" s="1">
        <v>7.5</v>
      </c>
      <c r="F97" s="54" t="s">
        <v>38</v>
      </c>
      <c r="G97" s="54" t="s">
        <v>38</v>
      </c>
      <c r="H97" s="54" t="s">
        <v>38</v>
      </c>
      <c r="I97" s="54" t="s">
        <v>38</v>
      </c>
      <c r="J97" s="49"/>
      <c r="K97" s="38"/>
      <c r="L97" s="38"/>
      <c r="M97" s="38"/>
      <c r="N97" s="38"/>
      <c r="O97" s="39"/>
      <c r="P97" s="37"/>
      <c r="Q97" s="17"/>
    </row>
    <row r="98" spans="1:21" s="12" customFormat="1" ht="14.25" customHeight="1" thickBot="1">
      <c r="A98" s="293">
        <v>121</v>
      </c>
      <c r="B98" s="294" t="s">
        <v>1087</v>
      </c>
      <c r="C98" s="305">
        <v>213</v>
      </c>
      <c r="D98" s="311" t="s">
        <v>1315</v>
      </c>
      <c r="E98" s="306">
        <v>36.799999999999997</v>
      </c>
      <c r="F98" s="307" t="s">
        <v>1192</v>
      </c>
      <c r="G98" s="308" t="s">
        <v>1188</v>
      </c>
      <c r="H98" s="285" t="s">
        <v>219</v>
      </c>
      <c r="I98" s="309" t="s">
        <v>38</v>
      </c>
      <c r="J98" s="310" t="s">
        <v>1193</v>
      </c>
      <c r="K98" s="38"/>
      <c r="L98" s="38"/>
      <c r="M98" s="38"/>
      <c r="N98" s="38"/>
      <c r="O98" s="39"/>
      <c r="P98" s="37"/>
      <c r="Q98" s="17"/>
    </row>
    <row r="99" spans="1:21" s="210" customFormat="1" ht="14.25" customHeight="1" thickBot="1">
      <c r="A99" s="199">
        <v>121</v>
      </c>
      <c r="B99" s="200" t="s">
        <v>1087</v>
      </c>
      <c r="C99" s="211">
        <v>215</v>
      </c>
      <c r="D99" s="312" t="s">
        <v>761</v>
      </c>
      <c r="E99" s="203"/>
      <c r="F99" s="204"/>
      <c r="G99" s="205"/>
      <c r="H99" s="205"/>
      <c r="I99" s="205"/>
      <c r="J99" s="212"/>
      <c r="K99" s="206"/>
      <c r="L99" s="206"/>
      <c r="M99" s="206"/>
      <c r="N99" s="206"/>
      <c r="O99" s="207"/>
      <c r="P99" s="208"/>
      <c r="Q99" s="209"/>
    </row>
    <row r="100" spans="1:21" s="12" customFormat="1" ht="14.25" customHeight="1" thickBot="1">
      <c r="A100" s="75">
        <v>121</v>
      </c>
      <c r="B100" s="9" t="s">
        <v>256</v>
      </c>
      <c r="C100" s="109">
        <v>216</v>
      </c>
      <c r="D100" s="134" t="s">
        <v>600</v>
      </c>
      <c r="E100" s="1">
        <v>718.7</v>
      </c>
      <c r="F100" s="14" t="s">
        <v>1212</v>
      </c>
      <c r="G100" s="22" t="s">
        <v>1188</v>
      </c>
      <c r="H100" s="8" t="s">
        <v>1175</v>
      </c>
      <c r="I100" s="8">
        <v>2800</v>
      </c>
      <c r="J100" s="49" t="s">
        <v>1211</v>
      </c>
      <c r="K100" s="38"/>
      <c r="L100" s="38"/>
      <c r="M100" s="38"/>
      <c r="N100" s="38"/>
      <c r="O100" s="39"/>
      <c r="P100" s="37"/>
      <c r="Q100" s="17"/>
    </row>
    <row r="101" spans="1:21" s="12" customFormat="1" ht="14.25" customHeight="1" thickBot="1">
      <c r="A101" s="75">
        <v>121</v>
      </c>
      <c r="B101" s="9" t="s">
        <v>256</v>
      </c>
      <c r="C101" s="109">
        <v>217</v>
      </c>
      <c r="D101" s="134" t="s">
        <v>762</v>
      </c>
      <c r="E101" s="1">
        <v>79.400000000000006</v>
      </c>
      <c r="F101" s="14" t="s">
        <v>1215</v>
      </c>
      <c r="G101" s="8" t="s">
        <v>1216</v>
      </c>
      <c r="H101" s="8" t="s">
        <v>1217</v>
      </c>
      <c r="I101" s="54" t="s">
        <v>38</v>
      </c>
      <c r="J101" s="57" t="s">
        <v>190</v>
      </c>
      <c r="K101" s="38"/>
      <c r="L101" s="38"/>
      <c r="M101" s="38"/>
      <c r="N101" s="38"/>
      <c r="O101" s="39"/>
      <c r="P101" s="37"/>
      <c r="Q101" s="17"/>
    </row>
    <row r="102" spans="1:21" s="12" customFormat="1" ht="14.25" customHeight="1" thickBot="1">
      <c r="A102" s="75">
        <v>121</v>
      </c>
      <c r="B102" s="9" t="s">
        <v>256</v>
      </c>
      <c r="C102" s="109">
        <v>218</v>
      </c>
      <c r="D102" s="150" t="s">
        <v>763</v>
      </c>
      <c r="E102" s="1">
        <v>22.9</v>
      </c>
      <c r="F102" s="14" t="s">
        <v>1215</v>
      </c>
      <c r="G102" s="8" t="s">
        <v>1216</v>
      </c>
      <c r="H102" s="8" t="s">
        <v>1218</v>
      </c>
      <c r="I102" s="54">
        <v>3000</v>
      </c>
      <c r="J102" s="57" t="s">
        <v>132</v>
      </c>
      <c r="K102" s="38"/>
      <c r="L102" s="38"/>
      <c r="M102" s="38"/>
      <c r="N102" s="38"/>
      <c r="O102" s="39"/>
      <c r="P102" s="37"/>
      <c r="Q102" s="17"/>
    </row>
    <row r="103" spans="1:21" s="12" customFormat="1" ht="14.25" customHeight="1" thickBot="1">
      <c r="A103" s="75">
        <v>121</v>
      </c>
      <c r="B103" s="9" t="s">
        <v>256</v>
      </c>
      <c r="C103" s="110">
        <v>219</v>
      </c>
      <c r="D103" s="133" t="s">
        <v>764</v>
      </c>
      <c r="E103" s="2">
        <v>36</v>
      </c>
      <c r="F103" s="14" t="s">
        <v>1201</v>
      </c>
      <c r="G103" s="8"/>
      <c r="H103" s="8"/>
      <c r="I103" s="8"/>
      <c r="J103" s="49"/>
      <c r="K103" s="38"/>
      <c r="L103" s="38"/>
      <c r="M103" s="38"/>
      <c r="N103" s="38"/>
      <c r="O103" s="39"/>
      <c r="P103" s="37"/>
      <c r="Q103" s="17"/>
    </row>
    <row r="104" spans="1:21" s="12" customFormat="1" ht="14.25" customHeight="1" thickBot="1">
      <c r="A104" s="75">
        <v>121</v>
      </c>
      <c r="B104" s="9" t="s">
        <v>256</v>
      </c>
      <c r="C104" s="110">
        <v>220</v>
      </c>
      <c r="D104" s="115" t="s">
        <v>765</v>
      </c>
      <c r="E104" s="1">
        <v>19.399999999999999</v>
      </c>
      <c r="F104" s="14" t="s">
        <v>1201</v>
      </c>
      <c r="G104" s="8"/>
      <c r="H104" s="8"/>
      <c r="I104" s="8"/>
      <c r="J104" s="49"/>
      <c r="K104" s="38"/>
      <c r="L104" s="38"/>
      <c r="M104" s="38"/>
      <c r="N104" s="38"/>
      <c r="O104" s="39"/>
      <c r="P104" s="37"/>
      <c r="Q104" s="17"/>
    </row>
    <row r="105" spans="1:21" s="12" customFormat="1" ht="14.25" customHeight="1" thickBot="1">
      <c r="A105" s="75">
        <v>121</v>
      </c>
      <c r="B105" s="9" t="s">
        <v>256</v>
      </c>
      <c r="C105" s="110">
        <v>221</v>
      </c>
      <c r="D105" s="115" t="s">
        <v>766</v>
      </c>
      <c r="E105" s="1">
        <v>39.5</v>
      </c>
      <c r="F105" s="14" t="s">
        <v>1201</v>
      </c>
      <c r="G105" s="8"/>
      <c r="H105" s="8"/>
      <c r="I105" s="8"/>
      <c r="J105" s="49"/>
      <c r="K105" s="38"/>
      <c r="L105" s="38"/>
      <c r="M105" s="38"/>
      <c r="N105" s="38"/>
      <c r="O105" s="39"/>
      <c r="P105" s="37"/>
      <c r="Q105" s="17"/>
    </row>
    <row r="106" spans="1:21" s="12" customFormat="1" ht="14.25" customHeight="1" thickBot="1">
      <c r="A106" s="75">
        <v>121</v>
      </c>
      <c r="B106" s="9" t="s">
        <v>256</v>
      </c>
      <c r="C106" s="110">
        <v>222</v>
      </c>
      <c r="D106" s="115" t="s">
        <v>767</v>
      </c>
      <c r="E106" s="1">
        <v>27.5</v>
      </c>
      <c r="F106" s="14" t="s">
        <v>1201</v>
      </c>
      <c r="G106" s="8"/>
      <c r="H106" s="8"/>
      <c r="I106" s="8"/>
      <c r="J106" s="49"/>
      <c r="K106" s="38"/>
      <c r="L106" s="38"/>
      <c r="M106" s="38"/>
      <c r="N106" s="38"/>
      <c r="O106" s="39"/>
      <c r="P106" s="37"/>
      <c r="Q106" s="17"/>
    </row>
    <row r="107" spans="1:21" s="12" customFormat="1" ht="14.25" customHeight="1" thickBot="1">
      <c r="A107" s="75">
        <v>121</v>
      </c>
      <c r="B107" s="9" t="s">
        <v>256</v>
      </c>
      <c r="C107" s="111">
        <v>223</v>
      </c>
      <c r="D107" s="147" t="s">
        <v>1085</v>
      </c>
      <c r="E107" s="1">
        <v>9.9</v>
      </c>
      <c r="F107" s="54" t="s">
        <v>38</v>
      </c>
      <c r="G107" s="54" t="s">
        <v>38</v>
      </c>
      <c r="H107" s="54" t="s">
        <v>38</v>
      </c>
      <c r="I107" s="54" t="s">
        <v>38</v>
      </c>
      <c r="J107" s="54" t="s">
        <v>38</v>
      </c>
      <c r="K107" s="38"/>
      <c r="L107" s="38"/>
      <c r="M107" s="38"/>
      <c r="N107" s="38"/>
      <c r="O107" s="39"/>
      <c r="P107" s="37"/>
      <c r="Q107" s="17"/>
    </row>
    <row r="108" spans="1:21" s="12" customFormat="1" ht="14.25" customHeight="1" thickBot="1">
      <c r="A108" s="75">
        <v>121</v>
      </c>
      <c r="B108" s="9" t="s">
        <v>256</v>
      </c>
      <c r="C108" s="110">
        <v>225</v>
      </c>
      <c r="D108" s="151" t="s">
        <v>768</v>
      </c>
      <c r="E108" s="1">
        <v>29.1</v>
      </c>
      <c r="F108" s="14" t="s">
        <v>1201</v>
      </c>
      <c r="G108" s="8"/>
      <c r="H108" s="8"/>
      <c r="I108" s="8"/>
      <c r="J108" s="49"/>
      <c r="K108" s="38"/>
      <c r="L108" s="38"/>
      <c r="M108" s="38"/>
      <c r="N108" s="38"/>
      <c r="O108" s="39"/>
      <c r="P108" s="37"/>
      <c r="Q108" s="17"/>
    </row>
    <row r="109" spans="1:21" s="12" customFormat="1" ht="14.25" customHeight="1" thickBot="1">
      <c r="A109" s="75">
        <v>121</v>
      </c>
      <c r="B109" s="9" t="s">
        <v>256</v>
      </c>
      <c r="C109" s="110">
        <v>226</v>
      </c>
      <c r="D109" s="115" t="s">
        <v>769</v>
      </c>
      <c r="E109" s="2">
        <v>20.7</v>
      </c>
      <c r="F109" s="14" t="s">
        <v>1201</v>
      </c>
      <c r="G109" s="8"/>
      <c r="H109" s="8"/>
      <c r="I109" s="8"/>
      <c r="J109" s="49"/>
      <c r="K109" s="38"/>
      <c r="L109" s="38"/>
      <c r="M109" s="38"/>
      <c r="N109" s="38"/>
      <c r="O109" s="39"/>
      <c r="P109" s="37"/>
      <c r="Q109" s="17"/>
    </row>
    <row r="110" spans="1:21" s="12" customFormat="1" ht="14.25" customHeight="1" thickBot="1">
      <c r="A110" s="75">
        <v>121</v>
      </c>
      <c r="B110" s="9" t="s">
        <v>256</v>
      </c>
      <c r="C110" s="110">
        <v>227</v>
      </c>
      <c r="D110" s="133" t="s">
        <v>770</v>
      </c>
      <c r="E110" s="1">
        <v>22.4</v>
      </c>
      <c r="F110" s="14" t="s">
        <v>1219</v>
      </c>
      <c r="G110" s="8" t="s">
        <v>1221</v>
      </c>
      <c r="H110" s="8" t="s">
        <v>1220</v>
      </c>
      <c r="I110" s="8">
        <v>2700</v>
      </c>
      <c r="J110" s="54" t="s">
        <v>38</v>
      </c>
      <c r="K110" s="38"/>
      <c r="L110" s="38"/>
      <c r="M110" s="38"/>
      <c r="N110" s="38"/>
      <c r="O110" s="39"/>
      <c r="P110" s="37"/>
      <c r="Q110" s="17"/>
    </row>
    <row r="111" spans="1:21" s="12" customFormat="1" ht="14.25" customHeight="1" thickBot="1">
      <c r="A111" s="75">
        <v>121</v>
      </c>
      <c r="B111" s="9" t="s">
        <v>256</v>
      </c>
      <c r="C111" s="109">
        <v>228</v>
      </c>
      <c r="D111" s="134" t="s">
        <v>771</v>
      </c>
      <c r="E111" s="1">
        <v>21.6</v>
      </c>
      <c r="F111" s="14" t="s">
        <v>1219</v>
      </c>
      <c r="G111" s="8" t="s">
        <v>1221</v>
      </c>
      <c r="H111" s="8" t="s">
        <v>1220</v>
      </c>
      <c r="I111" s="8">
        <v>2700</v>
      </c>
      <c r="J111" s="54" t="s">
        <v>38</v>
      </c>
      <c r="K111" s="38"/>
      <c r="L111" s="38"/>
      <c r="M111" s="38"/>
      <c r="N111" s="38"/>
      <c r="O111" s="39"/>
      <c r="P111" s="37"/>
      <c r="Q111" s="17"/>
    </row>
    <row r="112" spans="1:21" s="191" customFormat="1" ht="14.25" customHeight="1" thickBot="1">
      <c r="A112" s="179">
        <v>113</v>
      </c>
      <c r="B112" s="180" t="s">
        <v>256</v>
      </c>
      <c r="C112" s="181"/>
      <c r="D112" s="182" t="s">
        <v>935</v>
      </c>
      <c r="E112" s="221">
        <v>2261.6</v>
      </c>
      <c r="F112" s="222"/>
      <c r="G112" s="223"/>
      <c r="H112" s="223"/>
      <c r="I112" s="223"/>
      <c r="J112" s="223"/>
      <c r="K112" s="224"/>
      <c r="L112" s="186"/>
      <c r="M112" s="186"/>
      <c r="N112" s="186"/>
      <c r="O112" s="187"/>
      <c r="P112" s="187"/>
      <c r="Q112" s="187"/>
      <c r="R112" s="187"/>
      <c r="S112" s="188"/>
      <c r="T112" s="189"/>
      <c r="U112" s="190"/>
    </row>
    <row r="113" spans="1:21" s="12" customFormat="1" ht="14.25" customHeight="1" thickBot="1">
      <c r="A113" s="75">
        <v>121</v>
      </c>
      <c r="B113" s="9" t="s">
        <v>42</v>
      </c>
      <c r="C113" s="109">
        <v>301</v>
      </c>
      <c r="D113" s="134" t="s">
        <v>751</v>
      </c>
      <c r="E113" s="2">
        <v>40.1</v>
      </c>
      <c r="F113" s="14" t="s">
        <v>1202</v>
      </c>
      <c r="G113" s="8" t="s">
        <v>1203</v>
      </c>
      <c r="H113" s="8" t="s">
        <v>1204</v>
      </c>
      <c r="I113" s="8" t="s">
        <v>1205</v>
      </c>
      <c r="J113" s="49" t="s">
        <v>1206</v>
      </c>
      <c r="K113" s="38"/>
      <c r="L113" s="38"/>
      <c r="M113" s="38"/>
      <c r="N113" s="38"/>
      <c r="O113" s="39"/>
      <c r="P113" s="37"/>
      <c r="Q113" s="17"/>
    </row>
    <row r="114" spans="1:21" s="12" customFormat="1" ht="14.25" customHeight="1" thickBot="1">
      <c r="A114" s="75">
        <v>121</v>
      </c>
      <c r="B114" s="9" t="s">
        <v>42</v>
      </c>
      <c r="C114" s="109">
        <v>302</v>
      </c>
      <c r="D114" s="139" t="s">
        <v>774</v>
      </c>
      <c r="E114" s="2">
        <v>74.2</v>
      </c>
      <c r="F114" s="14" t="s">
        <v>1187</v>
      </c>
      <c r="G114" s="8" t="s">
        <v>1203</v>
      </c>
      <c r="H114" s="8" t="s">
        <v>1204</v>
      </c>
      <c r="I114" s="8" t="s">
        <v>1205</v>
      </c>
      <c r="J114" s="49" t="s">
        <v>330</v>
      </c>
      <c r="K114" s="38"/>
      <c r="L114" s="38"/>
      <c r="M114" s="38"/>
      <c r="N114" s="38"/>
      <c r="O114" s="39"/>
      <c r="P114" s="37"/>
      <c r="Q114" s="17"/>
    </row>
    <row r="115" spans="1:21" s="12" customFormat="1" ht="14.25" customHeight="1" thickBot="1">
      <c r="A115" s="75">
        <v>121</v>
      </c>
      <c r="B115" s="9" t="s">
        <v>42</v>
      </c>
      <c r="C115" s="109">
        <v>303</v>
      </c>
      <c r="D115" s="134" t="s">
        <v>775</v>
      </c>
      <c r="E115" s="1">
        <v>73.400000000000006</v>
      </c>
      <c r="F115" s="14" t="s">
        <v>1187</v>
      </c>
      <c r="G115" s="8" t="s">
        <v>1203</v>
      </c>
      <c r="H115" s="8" t="s">
        <v>1204</v>
      </c>
      <c r="I115" s="8" t="s">
        <v>1205</v>
      </c>
      <c r="J115" s="49" t="s">
        <v>330</v>
      </c>
      <c r="K115" s="38"/>
      <c r="L115" s="38"/>
      <c r="M115" s="38"/>
      <c r="N115" s="38"/>
      <c r="O115" s="39"/>
      <c r="P115" s="37"/>
      <c r="Q115" s="17"/>
    </row>
    <row r="116" spans="1:21" s="12" customFormat="1" ht="14.25" customHeight="1" thickBot="1">
      <c r="A116" s="75">
        <v>121</v>
      </c>
      <c r="B116" s="9" t="s">
        <v>42</v>
      </c>
      <c r="C116" s="109">
        <v>305</v>
      </c>
      <c r="D116" s="134" t="s">
        <v>776</v>
      </c>
      <c r="E116" s="1">
        <v>328.7</v>
      </c>
      <c r="F116" s="14" t="s">
        <v>1187</v>
      </c>
      <c r="G116" s="8" t="s">
        <v>1188</v>
      </c>
      <c r="H116" s="8" t="s">
        <v>1204</v>
      </c>
      <c r="I116" s="8" t="s">
        <v>1205</v>
      </c>
      <c r="J116" s="49" t="s">
        <v>330</v>
      </c>
      <c r="K116" s="38"/>
      <c r="L116" s="38"/>
      <c r="M116" s="38"/>
      <c r="N116" s="38"/>
      <c r="O116" s="39"/>
      <c r="P116" s="37"/>
      <c r="Q116" s="17"/>
    </row>
    <row r="117" spans="1:21" s="12" customFormat="1" ht="14.25" customHeight="1" thickBot="1">
      <c r="A117" s="75">
        <v>121</v>
      </c>
      <c r="B117" s="9" t="s">
        <v>42</v>
      </c>
      <c r="C117" s="109">
        <v>306</v>
      </c>
      <c r="D117" s="134" t="s">
        <v>778</v>
      </c>
      <c r="E117" s="2">
        <v>8.1999999999999993</v>
      </c>
      <c r="F117" s="14" t="s">
        <v>1187</v>
      </c>
      <c r="G117" s="8" t="s">
        <v>1188</v>
      </c>
      <c r="H117" s="8" t="s">
        <v>1204</v>
      </c>
      <c r="I117" s="8" t="s">
        <v>1205</v>
      </c>
      <c r="J117" s="49" t="s">
        <v>330</v>
      </c>
      <c r="K117" s="38"/>
      <c r="L117" s="38"/>
      <c r="M117" s="38"/>
      <c r="N117" s="38"/>
      <c r="O117" s="39"/>
      <c r="P117" s="37"/>
      <c r="Q117" s="17"/>
    </row>
    <row r="118" spans="1:21" s="12" customFormat="1" ht="14.25" customHeight="1" thickBot="1">
      <c r="A118" s="75">
        <v>121</v>
      </c>
      <c r="B118" s="9" t="s">
        <v>42</v>
      </c>
      <c r="C118" s="109">
        <v>307</v>
      </c>
      <c r="D118" s="147" t="s">
        <v>1085</v>
      </c>
      <c r="E118" s="2">
        <v>9.9</v>
      </c>
      <c r="F118" s="8" t="s">
        <v>1205</v>
      </c>
      <c r="G118" s="8" t="s">
        <v>1205</v>
      </c>
      <c r="H118" s="8" t="s">
        <v>1205</v>
      </c>
      <c r="I118" s="8" t="s">
        <v>1205</v>
      </c>
      <c r="J118" s="8" t="s">
        <v>1205</v>
      </c>
      <c r="K118" s="38"/>
      <c r="L118" s="38"/>
      <c r="M118" s="38"/>
      <c r="N118" s="38"/>
      <c r="O118" s="39"/>
      <c r="P118" s="37"/>
      <c r="Q118" s="17"/>
    </row>
    <row r="119" spans="1:21" s="12" customFormat="1" ht="14.25" customHeight="1" thickBot="1">
      <c r="A119" s="75">
        <v>121</v>
      </c>
      <c r="B119" s="9" t="s">
        <v>42</v>
      </c>
      <c r="C119" s="109">
        <v>308</v>
      </c>
      <c r="D119" s="134" t="s">
        <v>779</v>
      </c>
      <c r="E119" s="1">
        <v>171.3</v>
      </c>
      <c r="F119" s="14" t="s">
        <v>1187</v>
      </c>
      <c r="G119" s="8" t="s">
        <v>1203</v>
      </c>
      <c r="H119" s="8" t="s">
        <v>1204</v>
      </c>
      <c r="I119" s="8" t="s">
        <v>1205</v>
      </c>
      <c r="J119" s="49" t="s">
        <v>330</v>
      </c>
      <c r="K119" s="38"/>
      <c r="L119" s="38"/>
      <c r="M119" s="38"/>
      <c r="N119" s="38"/>
      <c r="O119" s="39"/>
      <c r="P119" s="37"/>
      <c r="Q119" s="17"/>
    </row>
    <row r="120" spans="1:21" s="12" customFormat="1" ht="14.25" customHeight="1" thickBot="1">
      <c r="A120" s="75">
        <v>121</v>
      </c>
      <c r="B120" s="9" t="s">
        <v>42</v>
      </c>
      <c r="C120" s="109">
        <v>309</v>
      </c>
      <c r="D120" s="134" t="s">
        <v>777</v>
      </c>
      <c r="E120" s="1">
        <v>239.9</v>
      </c>
      <c r="F120" s="14" t="s">
        <v>1187</v>
      </c>
      <c r="G120" s="8" t="s">
        <v>1188</v>
      </c>
      <c r="H120" s="8" t="s">
        <v>1204</v>
      </c>
      <c r="I120" s="8" t="s">
        <v>1205</v>
      </c>
      <c r="J120" s="49" t="s">
        <v>330</v>
      </c>
      <c r="K120" s="38"/>
      <c r="L120" s="38"/>
      <c r="M120" s="38"/>
      <c r="N120" s="38"/>
      <c r="O120" s="39"/>
      <c r="P120" s="37"/>
      <c r="Q120" s="17"/>
    </row>
    <row r="121" spans="1:21" s="12" customFormat="1" ht="14.25" customHeight="1" thickBot="1">
      <c r="A121" s="75">
        <v>121</v>
      </c>
      <c r="B121" s="9" t="s">
        <v>42</v>
      </c>
      <c r="C121" s="109">
        <v>310</v>
      </c>
      <c r="D121" s="134" t="s">
        <v>775</v>
      </c>
      <c r="E121" s="1">
        <v>80.599999999999994</v>
      </c>
      <c r="F121" s="14" t="s">
        <v>1187</v>
      </c>
      <c r="G121" s="8" t="s">
        <v>1188</v>
      </c>
      <c r="H121" s="8" t="s">
        <v>1204</v>
      </c>
      <c r="I121" s="8" t="s">
        <v>1205</v>
      </c>
      <c r="J121" s="49" t="s">
        <v>330</v>
      </c>
      <c r="K121" s="38"/>
      <c r="L121" s="38"/>
      <c r="M121" s="38"/>
      <c r="N121" s="38"/>
      <c r="O121" s="39"/>
      <c r="P121" s="37"/>
      <c r="Q121" s="17"/>
    </row>
    <row r="122" spans="1:21" s="12" customFormat="1" ht="14.25" customHeight="1" thickBot="1">
      <c r="A122" s="75">
        <v>121</v>
      </c>
      <c r="B122" s="9" t="s">
        <v>42</v>
      </c>
      <c r="C122" s="109">
        <v>311</v>
      </c>
      <c r="D122" s="134" t="s">
        <v>780</v>
      </c>
      <c r="E122" s="1">
        <v>83.1</v>
      </c>
      <c r="F122" s="14" t="s">
        <v>1187</v>
      </c>
      <c r="G122" s="8" t="s">
        <v>1203</v>
      </c>
      <c r="H122" s="8" t="s">
        <v>1204</v>
      </c>
      <c r="I122" s="8" t="s">
        <v>1205</v>
      </c>
      <c r="J122" s="49" t="s">
        <v>330</v>
      </c>
      <c r="K122" s="38"/>
      <c r="L122" s="38"/>
      <c r="M122" s="38"/>
      <c r="N122" s="38"/>
      <c r="O122" s="39"/>
      <c r="P122" s="37"/>
      <c r="Q122" s="17"/>
    </row>
    <row r="123" spans="1:21" s="12" customFormat="1" ht="14.25" customHeight="1" thickBot="1">
      <c r="A123" s="75">
        <v>121</v>
      </c>
      <c r="B123" s="9" t="s">
        <v>42</v>
      </c>
      <c r="C123" s="109" t="s">
        <v>772</v>
      </c>
      <c r="D123" s="134" t="s">
        <v>781</v>
      </c>
      <c r="E123" s="1">
        <v>14.1</v>
      </c>
      <c r="F123" s="14" t="s">
        <v>1187</v>
      </c>
      <c r="G123" s="8" t="s">
        <v>1203</v>
      </c>
      <c r="H123" s="8" t="s">
        <v>1204</v>
      </c>
      <c r="I123" s="8" t="s">
        <v>1205</v>
      </c>
      <c r="J123" s="49" t="s">
        <v>330</v>
      </c>
      <c r="K123" s="38"/>
      <c r="L123" s="38"/>
      <c r="M123" s="38"/>
      <c r="N123" s="38"/>
      <c r="O123" s="39"/>
      <c r="P123" s="37"/>
      <c r="Q123" s="17"/>
    </row>
    <row r="124" spans="1:21" s="12" customFormat="1" ht="14.25" customHeight="1" thickBot="1">
      <c r="A124" s="75">
        <v>121</v>
      </c>
      <c r="B124" s="9" t="s">
        <v>42</v>
      </c>
      <c r="C124" s="109">
        <v>312</v>
      </c>
      <c r="D124" s="134" t="s">
        <v>781</v>
      </c>
      <c r="E124" s="1">
        <v>31.7</v>
      </c>
      <c r="F124" s="14" t="s">
        <v>1187</v>
      </c>
      <c r="G124" s="8" t="s">
        <v>1203</v>
      </c>
      <c r="H124" s="8" t="s">
        <v>1204</v>
      </c>
      <c r="I124" s="8" t="s">
        <v>1205</v>
      </c>
      <c r="J124" s="49" t="s">
        <v>330</v>
      </c>
      <c r="K124" s="38"/>
      <c r="L124" s="38"/>
      <c r="M124" s="38"/>
      <c r="N124" s="38"/>
      <c r="O124" s="39"/>
      <c r="P124" s="37"/>
      <c r="Q124" s="17"/>
    </row>
    <row r="125" spans="1:21" s="12" customFormat="1" ht="14.25" customHeight="1" thickBot="1">
      <c r="A125" s="75">
        <v>121</v>
      </c>
      <c r="B125" s="9" t="s">
        <v>42</v>
      </c>
      <c r="C125" s="109">
        <v>313</v>
      </c>
      <c r="D125" s="134" t="s">
        <v>759</v>
      </c>
      <c r="E125" s="1">
        <v>32.299999999999997</v>
      </c>
      <c r="F125" s="14" t="s">
        <v>1202</v>
      </c>
      <c r="G125" s="8" t="s">
        <v>1203</v>
      </c>
      <c r="H125" s="8" t="s">
        <v>1204</v>
      </c>
      <c r="I125" s="8" t="s">
        <v>1205</v>
      </c>
      <c r="J125" s="49" t="s">
        <v>330</v>
      </c>
      <c r="K125" s="38"/>
      <c r="L125" s="38"/>
      <c r="M125" s="38"/>
      <c r="N125" s="38"/>
      <c r="O125" s="39"/>
      <c r="P125" s="37"/>
      <c r="Q125" s="17"/>
    </row>
    <row r="126" spans="1:21" s="12" customFormat="1" ht="14.25" customHeight="1" thickBot="1">
      <c r="A126" s="75">
        <v>121</v>
      </c>
      <c r="B126" s="9" t="s">
        <v>42</v>
      </c>
      <c r="C126" s="109" t="s">
        <v>773</v>
      </c>
      <c r="D126" s="134" t="s">
        <v>782</v>
      </c>
      <c r="E126" s="1">
        <v>7.5</v>
      </c>
      <c r="F126" s="8" t="s">
        <v>1205</v>
      </c>
      <c r="G126" s="8" t="s">
        <v>1205</v>
      </c>
      <c r="H126" s="8" t="s">
        <v>1205</v>
      </c>
      <c r="I126" s="8" t="s">
        <v>1205</v>
      </c>
      <c r="J126" s="8" t="s">
        <v>1205</v>
      </c>
      <c r="K126" s="38"/>
      <c r="L126" s="38"/>
      <c r="M126" s="38"/>
      <c r="N126" s="38"/>
      <c r="O126" s="39"/>
      <c r="P126" s="37"/>
      <c r="Q126" s="17"/>
    </row>
    <row r="127" spans="1:21" s="191" customFormat="1" ht="14.25" customHeight="1" thickBot="1">
      <c r="A127" s="179">
        <v>113</v>
      </c>
      <c r="B127" s="180" t="s">
        <v>42</v>
      </c>
      <c r="C127" s="181"/>
      <c r="D127" s="182" t="s">
        <v>935</v>
      </c>
      <c r="E127" s="221">
        <v>1662.4</v>
      </c>
      <c r="F127" s="222"/>
      <c r="G127" s="223"/>
      <c r="H127" s="223"/>
      <c r="I127" s="223"/>
      <c r="J127" s="223"/>
      <c r="K127" s="224"/>
      <c r="L127" s="186"/>
      <c r="M127" s="186"/>
      <c r="N127" s="186"/>
      <c r="O127" s="187"/>
      <c r="P127" s="187"/>
      <c r="Q127" s="187"/>
      <c r="R127" s="187"/>
      <c r="S127" s="188"/>
      <c r="T127" s="189"/>
      <c r="U127" s="190"/>
    </row>
    <row r="128" spans="1:21" s="20" customFormat="1" ht="14.25" customHeight="1" thickBot="1">
      <c r="A128" s="75">
        <v>211</v>
      </c>
      <c r="B128" s="9" t="s">
        <v>938</v>
      </c>
      <c r="C128" s="93"/>
      <c r="D128" s="79" t="s">
        <v>939</v>
      </c>
      <c r="E128" s="11">
        <v>11724.5</v>
      </c>
      <c r="F128" s="11"/>
      <c r="G128" s="11"/>
      <c r="H128" s="11"/>
      <c r="I128" s="11"/>
      <c r="J128" s="49"/>
      <c r="K128" s="49"/>
      <c r="L128" s="49"/>
      <c r="M128" s="49"/>
      <c r="N128" s="49"/>
      <c r="O128" s="38"/>
      <c r="P128" s="38"/>
      <c r="Q128" s="38"/>
      <c r="R128" s="38"/>
      <c r="S128" s="39"/>
      <c r="T128" s="37"/>
      <c r="U128" s="27"/>
    </row>
    <row r="129" spans="1:16330" s="12" customFormat="1" ht="14.25" customHeight="1" thickBot="1">
      <c r="A129" s="75"/>
      <c r="B129" s="10"/>
      <c r="C129" s="52"/>
      <c r="D129" s="152"/>
      <c r="E129" s="4"/>
      <c r="F129" s="14"/>
      <c r="G129" s="8"/>
      <c r="H129" s="8"/>
      <c r="I129" s="8"/>
      <c r="J129" s="49"/>
      <c r="K129" s="38"/>
      <c r="L129" s="38"/>
      <c r="M129" s="38"/>
      <c r="N129" s="38"/>
      <c r="O129" s="39"/>
      <c r="P129" s="37"/>
      <c r="Q129" s="17"/>
    </row>
    <row r="130" spans="1:16330" s="12" customFormat="1" ht="14.25" customHeight="1" thickBot="1">
      <c r="A130" s="75"/>
      <c r="B130" s="10"/>
      <c r="C130" s="52"/>
      <c r="D130" s="152"/>
      <c r="E130" s="3"/>
      <c r="F130" s="14"/>
      <c r="G130" s="8"/>
      <c r="H130" s="8"/>
      <c r="I130" s="8"/>
      <c r="J130" s="49"/>
      <c r="K130" s="38"/>
      <c r="L130" s="38"/>
      <c r="M130" s="38"/>
      <c r="N130" s="38"/>
      <c r="O130" s="39"/>
      <c r="P130" s="37"/>
      <c r="Q130" s="17"/>
    </row>
    <row r="131" spans="1:16330" s="12" customFormat="1" ht="14.25" customHeight="1" thickBot="1">
      <c r="A131" s="75"/>
      <c r="B131" s="10"/>
      <c r="C131" s="52"/>
      <c r="D131" s="152"/>
      <c r="E131" s="4"/>
      <c r="F131" s="14"/>
      <c r="G131" s="8"/>
      <c r="H131" s="8"/>
      <c r="I131" s="8"/>
      <c r="J131" s="49"/>
      <c r="K131" s="38"/>
      <c r="L131" s="38"/>
      <c r="M131" s="38"/>
      <c r="N131" s="38"/>
      <c r="O131" s="39"/>
      <c r="P131" s="37"/>
      <c r="Q131" s="17"/>
    </row>
    <row r="132" spans="1:16330" s="12" customFormat="1" ht="14.25" customHeight="1" thickBot="1">
      <c r="A132" s="75"/>
      <c r="B132" s="10"/>
      <c r="C132" s="52"/>
      <c r="D132" s="152"/>
      <c r="E132" s="3"/>
      <c r="F132" s="14"/>
      <c r="G132" s="8"/>
      <c r="H132" s="8"/>
      <c r="I132" s="8"/>
      <c r="J132" s="49"/>
      <c r="K132" s="38"/>
      <c r="L132" s="38"/>
      <c r="M132" s="38"/>
      <c r="N132" s="38"/>
      <c r="O132" s="39"/>
      <c r="P132" s="37"/>
      <c r="Q132" s="17"/>
    </row>
    <row r="133" spans="1:16330" s="12" customFormat="1" ht="14.25" customHeight="1" thickBot="1">
      <c r="A133" s="75"/>
      <c r="B133" s="10"/>
      <c r="C133" s="52"/>
      <c r="D133" s="152"/>
      <c r="E133" s="4"/>
      <c r="F133" s="14"/>
      <c r="G133" s="8"/>
      <c r="H133" s="8"/>
      <c r="I133" s="8"/>
      <c r="J133" s="49"/>
      <c r="K133" s="38"/>
      <c r="L133" s="38"/>
      <c r="M133" s="38"/>
      <c r="N133" s="38"/>
      <c r="O133" s="39"/>
      <c r="P133" s="37"/>
      <c r="Q133" s="17"/>
    </row>
    <row r="134" spans="1:16330" s="12" customFormat="1" ht="13.8" thickBot="1">
      <c r="A134" s="75"/>
      <c r="B134" s="10"/>
      <c r="C134" s="52"/>
      <c r="D134" s="152"/>
      <c r="E134" s="4"/>
      <c r="F134" s="14"/>
      <c r="G134" s="8"/>
      <c r="H134" s="8"/>
      <c r="I134" s="8"/>
      <c r="J134" s="49"/>
      <c r="K134" s="38"/>
      <c r="L134" s="38"/>
      <c r="M134" s="38"/>
      <c r="N134" s="38"/>
      <c r="O134" s="39"/>
      <c r="P134" s="37"/>
      <c r="Q134" s="17"/>
    </row>
    <row r="135" spans="1:16330" s="12" customFormat="1" ht="14.25" customHeight="1">
      <c r="A135" s="75"/>
      <c r="B135" s="21"/>
      <c r="C135" s="52"/>
      <c r="D135" s="153"/>
      <c r="E135" s="15"/>
      <c r="F135" s="22"/>
      <c r="G135" s="16"/>
      <c r="H135" s="16"/>
      <c r="I135" s="16"/>
      <c r="J135" s="49"/>
      <c r="K135" s="40"/>
      <c r="L135" s="40"/>
      <c r="M135" s="40"/>
      <c r="N135" s="40"/>
      <c r="O135" s="41"/>
      <c r="P135" s="37"/>
      <c r="Q135" s="17"/>
    </row>
    <row r="136" spans="1:16330" s="12" customFormat="1" ht="13.2">
      <c r="A136" s="75"/>
      <c r="B136" s="23"/>
      <c r="C136" s="52"/>
      <c r="D136" s="154"/>
      <c r="E136" s="8"/>
      <c r="F136" s="8"/>
      <c r="G136" s="8"/>
      <c r="H136" s="8"/>
      <c r="I136" s="8"/>
      <c r="J136" s="49"/>
      <c r="K136" s="38"/>
      <c r="L136" s="38"/>
      <c r="M136" s="38"/>
      <c r="N136" s="38"/>
      <c r="O136" s="39"/>
      <c r="P136" s="3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  <c r="GZ136" s="17"/>
      <c r="HA136" s="17"/>
      <c r="HB136" s="17"/>
      <c r="HC136" s="17"/>
      <c r="HD136" s="17"/>
      <c r="HE136" s="17"/>
      <c r="HF136" s="17"/>
      <c r="HG136" s="17"/>
      <c r="HH136" s="17"/>
      <c r="HI136" s="17"/>
      <c r="HJ136" s="17"/>
      <c r="HK136" s="17"/>
      <c r="HL136" s="17"/>
      <c r="HM136" s="17"/>
      <c r="HN136" s="17"/>
      <c r="HO136" s="17"/>
      <c r="HP136" s="17"/>
      <c r="HQ136" s="17"/>
      <c r="HR136" s="17"/>
      <c r="HS136" s="17"/>
      <c r="HT136" s="17"/>
      <c r="HU136" s="17"/>
      <c r="HV136" s="17"/>
      <c r="HW136" s="17"/>
      <c r="HX136" s="17"/>
      <c r="HY136" s="17"/>
      <c r="HZ136" s="17"/>
      <c r="IA136" s="17"/>
      <c r="IB136" s="17"/>
      <c r="IC136" s="17"/>
      <c r="ID136" s="17"/>
      <c r="IE136" s="17"/>
      <c r="IF136" s="17"/>
      <c r="IG136" s="17"/>
      <c r="IH136" s="17"/>
      <c r="II136" s="17"/>
      <c r="IJ136" s="17"/>
      <c r="IK136" s="17"/>
      <c r="IL136" s="17"/>
      <c r="IM136" s="17"/>
      <c r="IN136" s="17"/>
      <c r="IO136" s="17"/>
      <c r="IP136" s="17"/>
      <c r="IQ136" s="17"/>
      <c r="IR136" s="17"/>
      <c r="IS136" s="17"/>
      <c r="IT136" s="17"/>
      <c r="IU136" s="17"/>
      <c r="IV136" s="17"/>
      <c r="IW136" s="17"/>
      <c r="IX136" s="17"/>
      <c r="IY136" s="17"/>
      <c r="IZ136" s="17"/>
      <c r="JA136" s="17"/>
      <c r="JB136" s="17"/>
      <c r="JC136" s="17"/>
      <c r="JD136" s="17"/>
      <c r="JE136" s="17"/>
      <c r="JF136" s="17"/>
      <c r="JG136" s="17"/>
      <c r="JH136" s="17"/>
      <c r="JI136" s="17"/>
      <c r="JJ136" s="17"/>
      <c r="JK136" s="17"/>
      <c r="JL136" s="17"/>
      <c r="JM136" s="17"/>
      <c r="JN136" s="17"/>
      <c r="JO136" s="17"/>
      <c r="JP136" s="17"/>
      <c r="JQ136" s="17"/>
      <c r="JR136" s="17"/>
      <c r="JS136" s="17"/>
      <c r="JT136" s="17"/>
      <c r="JU136" s="17"/>
      <c r="JV136" s="17"/>
      <c r="JW136" s="17"/>
      <c r="JX136" s="17"/>
      <c r="JY136" s="17"/>
      <c r="JZ136" s="17"/>
      <c r="KA136" s="17"/>
      <c r="KB136" s="17"/>
      <c r="KC136" s="17"/>
      <c r="KD136" s="17"/>
      <c r="KE136" s="17"/>
      <c r="KF136" s="17"/>
      <c r="KG136" s="17"/>
      <c r="KH136" s="17"/>
      <c r="KI136" s="17"/>
      <c r="KJ136" s="17"/>
      <c r="KK136" s="17"/>
      <c r="KL136" s="17"/>
      <c r="KM136" s="17"/>
      <c r="KN136" s="17"/>
      <c r="KO136" s="17"/>
      <c r="KP136" s="17"/>
      <c r="KQ136" s="17"/>
      <c r="KR136" s="17"/>
      <c r="KS136" s="17"/>
      <c r="KT136" s="17"/>
      <c r="KU136" s="17"/>
      <c r="KV136" s="17"/>
      <c r="KW136" s="17"/>
      <c r="KX136" s="17"/>
      <c r="KY136" s="17"/>
      <c r="KZ136" s="17"/>
      <c r="LA136" s="17"/>
      <c r="LB136" s="17"/>
      <c r="LC136" s="17"/>
      <c r="LD136" s="17"/>
      <c r="LE136" s="17"/>
      <c r="LF136" s="17"/>
      <c r="LG136" s="17"/>
      <c r="LH136" s="17"/>
      <c r="LI136" s="17"/>
      <c r="LJ136" s="17"/>
      <c r="LK136" s="17"/>
      <c r="LL136" s="17"/>
      <c r="LM136" s="17"/>
      <c r="LN136" s="17"/>
      <c r="LO136" s="17"/>
      <c r="LP136" s="17"/>
      <c r="LQ136" s="17"/>
      <c r="LR136" s="17"/>
      <c r="LS136" s="17"/>
      <c r="LT136" s="17"/>
      <c r="LU136" s="17"/>
      <c r="LV136" s="17"/>
      <c r="LW136" s="17"/>
      <c r="LX136" s="17"/>
      <c r="LY136" s="17"/>
      <c r="LZ136" s="17"/>
      <c r="MA136" s="17"/>
      <c r="MB136" s="17"/>
      <c r="MC136" s="17"/>
      <c r="MD136" s="17"/>
      <c r="ME136" s="17"/>
      <c r="MF136" s="17"/>
      <c r="MG136" s="17"/>
      <c r="MH136" s="17"/>
      <c r="MI136" s="17"/>
      <c r="MJ136" s="17"/>
      <c r="MK136" s="17"/>
      <c r="ML136" s="17"/>
      <c r="MM136" s="17"/>
      <c r="MN136" s="17"/>
      <c r="MO136" s="17"/>
      <c r="MP136" s="17"/>
      <c r="MQ136" s="17"/>
      <c r="MR136" s="17"/>
      <c r="MS136" s="17"/>
      <c r="MT136" s="17"/>
      <c r="MU136" s="17"/>
      <c r="MV136" s="17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  <c r="NX136" s="17"/>
      <c r="NY136" s="17"/>
      <c r="NZ136" s="17"/>
      <c r="OA136" s="17"/>
      <c r="OB136" s="17"/>
      <c r="OC136" s="17"/>
      <c r="OD136" s="17"/>
      <c r="OE136" s="17"/>
      <c r="OF136" s="17"/>
      <c r="OG136" s="17"/>
      <c r="OH136" s="17"/>
      <c r="OI136" s="17"/>
      <c r="OJ136" s="17"/>
      <c r="OK136" s="17"/>
      <c r="OL136" s="17"/>
      <c r="OM136" s="17"/>
      <c r="ON136" s="17"/>
      <c r="OO136" s="17"/>
      <c r="OP136" s="17"/>
      <c r="OQ136" s="17"/>
      <c r="OR136" s="17"/>
      <c r="OS136" s="17"/>
      <c r="OT136" s="17"/>
      <c r="OU136" s="17"/>
      <c r="OV136" s="17"/>
      <c r="OW136" s="17"/>
      <c r="OX136" s="17"/>
      <c r="OY136" s="17"/>
      <c r="OZ136" s="17"/>
      <c r="PA136" s="17"/>
      <c r="PB136" s="17"/>
      <c r="PC136" s="17"/>
      <c r="PD136" s="17"/>
      <c r="PE136" s="17"/>
      <c r="PF136" s="17"/>
      <c r="PG136" s="17"/>
      <c r="PH136" s="17"/>
      <c r="PI136" s="17"/>
      <c r="PJ136" s="17"/>
      <c r="PK136" s="17"/>
      <c r="PL136" s="17"/>
      <c r="PM136" s="17"/>
      <c r="PN136" s="17"/>
      <c r="PO136" s="17"/>
      <c r="PP136" s="17"/>
      <c r="PQ136" s="17"/>
      <c r="PR136" s="17"/>
      <c r="PS136" s="17"/>
      <c r="PT136" s="17"/>
      <c r="PU136" s="17"/>
      <c r="PV136" s="17"/>
      <c r="PW136" s="17"/>
      <c r="PX136" s="17"/>
      <c r="PY136" s="17"/>
      <c r="PZ136" s="17"/>
      <c r="QA136" s="17"/>
      <c r="QB136" s="17"/>
      <c r="QC136" s="17"/>
      <c r="QD136" s="17"/>
      <c r="QE136" s="17"/>
      <c r="QF136" s="17"/>
      <c r="QG136" s="17"/>
      <c r="QH136" s="17"/>
      <c r="QI136" s="17"/>
      <c r="QJ136" s="17"/>
      <c r="QK136" s="17"/>
      <c r="QL136" s="17"/>
      <c r="QM136" s="17"/>
      <c r="QN136" s="17"/>
      <c r="QO136" s="17"/>
      <c r="QP136" s="17"/>
      <c r="QQ136" s="17"/>
      <c r="QR136" s="17"/>
      <c r="QS136" s="17"/>
      <c r="QT136" s="17"/>
      <c r="QU136" s="17"/>
      <c r="QV136" s="17"/>
      <c r="QW136" s="17"/>
      <c r="QX136" s="17"/>
      <c r="QY136" s="17"/>
      <c r="QZ136" s="17"/>
      <c r="RA136" s="17"/>
      <c r="RB136" s="17"/>
      <c r="RC136" s="17"/>
      <c r="RD136" s="17"/>
      <c r="RE136" s="17"/>
      <c r="RF136" s="17"/>
      <c r="RG136" s="17"/>
      <c r="RH136" s="17"/>
      <c r="RI136" s="17"/>
      <c r="RJ136" s="17"/>
      <c r="RK136" s="17"/>
      <c r="RL136" s="17"/>
      <c r="RM136" s="17"/>
      <c r="RN136" s="17"/>
      <c r="RO136" s="17"/>
      <c r="RP136" s="17"/>
      <c r="RQ136" s="17"/>
      <c r="RR136" s="17"/>
      <c r="RS136" s="17"/>
      <c r="RT136" s="17"/>
      <c r="RU136" s="17"/>
      <c r="RV136" s="17"/>
      <c r="RW136" s="17"/>
      <c r="RX136" s="17"/>
      <c r="RY136" s="17"/>
      <c r="RZ136" s="17"/>
      <c r="SA136" s="17"/>
      <c r="SB136" s="17"/>
      <c r="SC136" s="17"/>
      <c r="SD136" s="17"/>
      <c r="SE136" s="17"/>
      <c r="SF136" s="17"/>
      <c r="SG136" s="17"/>
      <c r="SH136" s="17"/>
      <c r="SI136" s="17"/>
      <c r="SJ136" s="17"/>
      <c r="SK136" s="17"/>
      <c r="SL136" s="17"/>
      <c r="SM136" s="17"/>
      <c r="SN136" s="17"/>
      <c r="SO136" s="17"/>
      <c r="SP136" s="17"/>
      <c r="SQ136" s="17"/>
      <c r="SR136" s="17"/>
      <c r="SS136" s="17"/>
      <c r="ST136" s="17"/>
      <c r="SU136" s="17"/>
      <c r="SV136" s="17"/>
      <c r="SW136" s="17"/>
      <c r="SX136" s="17"/>
      <c r="SY136" s="17"/>
      <c r="SZ136" s="17"/>
      <c r="TA136" s="17"/>
      <c r="TB136" s="17"/>
      <c r="TC136" s="17"/>
      <c r="TD136" s="17"/>
      <c r="TE136" s="17"/>
      <c r="TF136" s="17"/>
      <c r="TG136" s="17"/>
      <c r="TH136" s="17"/>
      <c r="TI136" s="17"/>
      <c r="TJ136" s="17"/>
      <c r="TK136" s="17"/>
      <c r="TL136" s="17"/>
      <c r="TM136" s="17"/>
      <c r="TN136" s="17"/>
      <c r="TO136" s="17"/>
      <c r="TP136" s="17"/>
      <c r="TQ136" s="17"/>
      <c r="TR136" s="17"/>
      <c r="TS136" s="17"/>
      <c r="TT136" s="17"/>
      <c r="TU136" s="17"/>
      <c r="TV136" s="17"/>
      <c r="TW136" s="17"/>
      <c r="TX136" s="17"/>
      <c r="TY136" s="17"/>
      <c r="TZ136" s="17"/>
      <c r="UA136" s="17"/>
      <c r="UB136" s="17"/>
      <c r="UC136" s="17"/>
      <c r="UD136" s="17"/>
      <c r="UE136" s="17"/>
      <c r="UF136" s="17"/>
      <c r="UG136" s="17"/>
      <c r="UH136" s="17"/>
      <c r="UI136" s="17"/>
      <c r="UJ136" s="17"/>
      <c r="UK136" s="17"/>
      <c r="UL136" s="17"/>
      <c r="UM136" s="17"/>
      <c r="UN136" s="17"/>
      <c r="UO136" s="17"/>
      <c r="UP136" s="17"/>
      <c r="UQ136" s="17"/>
      <c r="UR136" s="17"/>
      <c r="US136" s="17"/>
      <c r="UT136" s="17"/>
      <c r="UU136" s="17"/>
      <c r="UV136" s="17"/>
      <c r="UW136" s="17"/>
      <c r="UX136" s="17"/>
      <c r="UY136" s="17"/>
      <c r="UZ136" s="17"/>
      <c r="VA136" s="17"/>
      <c r="VB136" s="17"/>
      <c r="VC136" s="17"/>
      <c r="VD136" s="17"/>
      <c r="VE136" s="17"/>
      <c r="VF136" s="17"/>
      <c r="VG136" s="17"/>
      <c r="VH136" s="17"/>
      <c r="VI136" s="17"/>
      <c r="VJ136" s="17"/>
      <c r="VK136" s="17"/>
      <c r="VL136" s="17"/>
      <c r="VM136" s="17"/>
      <c r="VN136" s="17"/>
      <c r="VO136" s="17"/>
      <c r="VP136" s="17"/>
      <c r="VQ136" s="17"/>
      <c r="VR136" s="17"/>
      <c r="VS136" s="17"/>
      <c r="VT136" s="17"/>
      <c r="VU136" s="17"/>
      <c r="VV136" s="17"/>
      <c r="VW136" s="17"/>
      <c r="VX136" s="17"/>
      <c r="VY136" s="17"/>
      <c r="VZ136" s="17"/>
      <c r="WA136" s="17"/>
      <c r="WB136" s="17"/>
      <c r="WC136" s="17"/>
      <c r="WD136" s="17"/>
      <c r="WE136" s="17"/>
      <c r="WF136" s="17"/>
      <c r="WG136" s="17"/>
      <c r="WH136" s="17"/>
      <c r="WI136" s="17"/>
      <c r="WJ136" s="17"/>
      <c r="WK136" s="17"/>
      <c r="WL136" s="17"/>
      <c r="WM136" s="17"/>
      <c r="WN136" s="17"/>
      <c r="WO136" s="17"/>
      <c r="WP136" s="17"/>
      <c r="WQ136" s="17"/>
      <c r="WR136" s="17"/>
      <c r="WS136" s="17"/>
      <c r="WT136" s="17"/>
      <c r="WU136" s="17"/>
      <c r="WV136" s="17"/>
      <c r="WW136" s="17"/>
      <c r="WX136" s="17"/>
      <c r="WY136" s="17"/>
      <c r="WZ136" s="17"/>
      <c r="XA136" s="17"/>
      <c r="XB136" s="17"/>
      <c r="XC136" s="17"/>
      <c r="XD136" s="17"/>
      <c r="XE136" s="17"/>
      <c r="XF136" s="17"/>
      <c r="XG136" s="17"/>
      <c r="XH136" s="17"/>
      <c r="XI136" s="17"/>
      <c r="XJ136" s="17"/>
      <c r="XK136" s="17"/>
      <c r="XL136" s="17"/>
      <c r="XM136" s="17"/>
      <c r="XN136" s="17"/>
      <c r="XO136" s="17"/>
      <c r="XP136" s="17"/>
      <c r="XQ136" s="17"/>
      <c r="XR136" s="17"/>
      <c r="XS136" s="17"/>
      <c r="XT136" s="17"/>
      <c r="XU136" s="17"/>
      <c r="XV136" s="17"/>
      <c r="XW136" s="17"/>
      <c r="XX136" s="17"/>
      <c r="XY136" s="17"/>
      <c r="XZ136" s="17"/>
      <c r="YA136" s="17"/>
      <c r="YB136" s="17"/>
      <c r="YC136" s="17"/>
      <c r="YD136" s="17"/>
      <c r="YE136" s="17"/>
      <c r="YF136" s="17"/>
      <c r="YG136" s="17"/>
      <c r="YH136" s="17"/>
      <c r="YI136" s="17"/>
      <c r="YJ136" s="17"/>
      <c r="YK136" s="17"/>
      <c r="YL136" s="17"/>
      <c r="YM136" s="17"/>
      <c r="YN136" s="17"/>
      <c r="YO136" s="17"/>
      <c r="YP136" s="17"/>
      <c r="YQ136" s="17"/>
      <c r="YR136" s="17"/>
      <c r="YS136" s="17"/>
      <c r="YT136" s="17"/>
      <c r="YU136" s="17"/>
      <c r="YV136" s="17"/>
      <c r="YW136" s="17"/>
      <c r="YX136" s="17"/>
      <c r="YY136" s="17"/>
      <c r="YZ136" s="17"/>
      <c r="ZA136" s="17"/>
      <c r="ZB136" s="17"/>
      <c r="ZC136" s="17"/>
      <c r="ZD136" s="17"/>
      <c r="ZE136" s="17"/>
      <c r="ZF136" s="17"/>
      <c r="ZG136" s="17"/>
      <c r="ZH136" s="17"/>
      <c r="ZI136" s="17"/>
      <c r="ZJ136" s="17"/>
      <c r="ZK136" s="17"/>
      <c r="ZL136" s="17"/>
      <c r="ZM136" s="17"/>
      <c r="ZN136" s="17"/>
      <c r="ZO136" s="17"/>
      <c r="ZP136" s="17"/>
      <c r="ZQ136" s="17"/>
      <c r="ZR136" s="17"/>
      <c r="ZS136" s="17"/>
      <c r="ZT136" s="17"/>
      <c r="ZU136" s="17"/>
      <c r="ZV136" s="17"/>
      <c r="ZW136" s="17"/>
      <c r="ZX136" s="17"/>
      <c r="ZY136" s="17"/>
      <c r="ZZ136" s="17"/>
      <c r="AAA136" s="17"/>
      <c r="AAB136" s="17"/>
      <c r="AAC136" s="17"/>
      <c r="AAD136" s="17"/>
      <c r="AAE136" s="17"/>
      <c r="AAF136" s="17"/>
      <c r="AAG136" s="17"/>
      <c r="AAH136" s="17"/>
      <c r="AAI136" s="17"/>
      <c r="AAJ136" s="17"/>
      <c r="AAK136" s="17"/>
      <c r="AAL136" s="17"/>
      <c r="AAM136" s="17"/>
      <c r="AAN136" s="17"/>
      <c r="AAO136" s="17"/>
      <c r="AAP136" s="17"/>
      <c r="AAQ136" s="17"/>
      <c r="AAR136" s="17"/>
      <c r="AAS136" s="17"/>
      <c r="AAT136" s="17"/>
      <c r="AAU136" s="17"/>
      <c r="AAV136" s="17"/>
      <c r="AAW136" s="17"/>
      <c r="AAX136" s="17"/>
      <c r="AAY136" s="17"/>
      <c r="AAZ136" s="17"/>
      <c r="ABA136" s="17"/>
      <c r="ABB136" s="17"/>
      <c r="ABC136" s="17"/>
      <c r="ABD136" s="17"/>
      <c r="ABE136" s="17"/>
      <c r="ABF136" s="17"/>
      <c r="ABG136" s="17"/>
      <c r="ABH136" s="17"/>
      <c r="ABI136" s="17"/>
      <c r="ABJ136" s="17"/>
      <c r="ABK136" s="17"/>
      <c r="ABL136" s="17"/>
      <c r="ABM136" s="17"/>
      <c r="ABN136" s="17"/>
      <c r="ABO136" s="17"/>
      <c r="ABP136" s="17"/>
      <c r="ABQ136" s="17"/>
      <c r="ABR136" s="17"/>
      <c r="ABS136" s="17"/>
      <c r="ABT136" s="17"/>
      <c r="ABU136" s="17"/>
      <c r="ABV136" s="17"/>
      <c r="ABW136" s="17"/>
      <c r="ABX136" s="17"/>
      <c r="ABY136" s="17"/>
      <c r="ABZ136" s="17"/>
      <c r="ACA136" s="17"/>
      <c r="ACB136" s="17"/>
      <c r="ACC136" s="17"/>
      <c r="ACD136" s="17"/>
      <c r="ACE136" s="17"/>
      <c r="ACF136" s="17"/>
      <c r="ACG136" s="17"/>
      <c r="ACH136" s="17"/>
      <c r="ACI136" s="17"/>
      <c r="ACJ136" s="17"/>
      <c r="ACK136" s="17"/>
      <c r="ACL136" s="17"/>
      <c r="ACM136" s="17"/>
      <c r="ACN136" s="17"/>
      <c r="ACO136" s="17"/>
      <c r="ACP136" s="17"/>
      <c r="ACQ136" s="17"/>
      <c r="ACR136" s="17"/>
      <c r="ACS136" s="17"/>
      <c r="ACT136" s="17"/>
      <c r="ACU136" s="17"/>
      <c r="ACV136" s="17"/>
      <c r="ACW136" s="17"/>
      <c r="ACX136" s="17"/>
      <c r="ACY136" s="17"/>
      <c r="ACZ136" s="17"/>
      <c r="ADA136" s="17"/>
      <c r="ADB136" s="17"/>
      <c r="ADC136" s="17"/>
      <c r="ADD136" s="17"/>
      <c r="ADE136" s="17"/>
      <c r="ADF136" s="17"/>
      <c r="ADG136" s="17"/>
      <c r="ADH136" s="17"/>
      <c r="ADI136" s="17"/>
      <c r="ADJ136" s="17"/>
      <c r="ADK136" s="17"/>
      <c r="ADL136" s="17"/>
      <c r="ADM136" s="17"/>
      <c r="ADN136" s="17"/>
      <c r="ADO136" s="17"/>
      <c r="ADP136" s="17"/>
      <c r="ADQ136" s="17"/>
      <c r="ADR136" s="17"/>
      <c r="ADS136" s="17"/>
      <c r="ADT136" s="17"/>
      <c r="ADU136" s="17"/>
      <c r="ADV136" s="17"/>
      <c r="ADW136" s="17"/>
      <c r="ADX136" s="17"/>
      <c r="ADY136" s="17"/>
      <c r="ADZ136" s="17"/>
      <c r="AEA136" s="17"/>
      <c r="AEB136" s="17"/>
      <c r="AEC136" s="17"/>
      <c r="AED136" s="17"/>
      <c r="AEE136" s="17"/>
      <c r="AEF136" s="17"/>
      <c r="AEG136" s="17"/>
      <c r="AEH136" s="17"/>
      <c r="AEI136" s="17"/>
      <c r="AEJ136" s="17"/>
      <c r="AEK136" s="17"/>
      <c r="AEL136" s="17"/>
      <c r="AEM136" s="17"/>
      <c r="AEN136" s="17"/>
      <c r="AEO136" s="17"/>
      <c r="AEP136" s="17"/>
      <c r="AEQ136" s="17"/>
      <c r="AER136" s="17"/>
      <c r="AES136" s="17"/>
      <c r="AET136" s="17"/>
      <c r="AEU136" s="17"/>
      <c r="AEV136" s="17"/>
      <c r="AEW136" s="17"/>
      <c r="AEX136" s="17"/>
      <c r="AEY136" s="17"/>
      <c r="AEZ136" s="17"/>
      <c r="AFA136" s="17"/>
      <c r="AFB136" s="17"/>
      <c r="AFC136" s="17"/>
      <c r="AFD136" s="17"/>
      <c r="AFE136" s="17"/>
      <c r="AFF136" s="17"/>
      <c r="AFG136" s="17"/>
      <c r="AFH136" s="17"/>
      <c r="AFI136" s="17"/>
      <c r="AFJ136" s="17"/>
      <c r="AFK136" s="17"/>
      <c r="AFL136" s="17"/>
      <c r="AFM136" s="17"/>
      <c r="AFN136" s="17"/>
      <c r="AFO136" s="17"/>
      <c r="AFP136" s="17"/>
      <c r="AFQ136" s="17"/>
      <c r="AFR136" s="17"/>
      <c r="AFS136" s="17"/>
      <c r="AFT136" s="17"/>
      <c r="AFU136" s="17"/>
      <c r="AFV136" s="17"/>
      <c r="AFW136" s="17"/>
      <c r="AFX136" s="17"/>
      <c r="AFY136" s="17"/>
      <c r="AFZ136" s="17"/>
      <c r="AGA136" s="17"/>
      <c r="AGB136" s="17"/>
      <c r="AGC136" s="17"/>
      <c r="AGD136" s="17"/>
      <c r="AGE136" s="17"/>
      <c r="AGF136" s="17"/>
      <c r="AGG136" s="17"/>
      <c r="AGH136" s="17"/>
      <c r="AGI136" s="17"/>
      <c r="AGJ136" s="17"/>
      <c r="AGK136" s="17"/>
      <c r="AGL136" s="17"/>
      <c r="AGM136" s="17"/>
      <c r="AGN136" s="17"/>
      <c r="AGO136" s="17"/>
      <c r="AGP136" s="17"/>
      <c r="AGQ136" s="17"/>
      <c r="AGR136" s="17"/>
      <c r="AGS136" s="17"/>
      <c r="AGT136" s="17"/>
      <c r="AGU136" s="17"/>
      <c r="AGV136" s="17"/>
      <c r="AGW136" s="17"/>
      <c r="AGX136" s="17"/>
      <c r="AGY136" s="17"/>
      <c r="AGZ136" s="17"/>
      <c r="AHA136" s="17"/>
      <c r="AHB136" s="17"/>
      <c r="AHC136" s="17"/>
      <c r="AHD136" s="17"/>
      <c r="AHE136" s="17"/>
      <c r="AHF136" s="17"/>
      <c r="AHG136" s="17"/>
      <c r="AHH136" s="17"/>
      <c r="AHI136" s="17"/>
      <c r="AHJ136" s="17"/>
      <c r="AHK136" s="17"/>
      <c r="AHL136" s="17"/>
      <c r="AHM136" s="17"/>
      <c r="AHN136" s="17"/>
      <c r="AHO136" s="17"/>
      <c r="AHP136" s="17"/>
      <c r="AHQ136" s="17"/>
      <c r="AHR136" s="17"/>
      <c r="AHS136" s="17"/>
      <c r="AHT136" s="17"/>
      <c r="AHU136" s="17"/>
      <c r="AHV136" s="17"/>
      <c r="AHW136" s="17"/>
      <c r="AHX136" s="17"/>
      <c r="AHY136" s="17"/>
      <c r="AHZ136" s="17"/>
      <c r="AIA136" s="17"/>
      <c r="AIB136" s="17"/>
      <c r="AIC136" s="17"/>
      <c r="AID136" s="17"/>
      <c r="AIE136" s="17"/>
      <c r="AIF136" s="17"/>
      <c r="AIG136" s="17"/>
      <c r="AIH136" s="17"/>
      <c r="AII136" s="17"/>
      <c r="AIJ136" s="17"/>
      <c r="AIK136" s="17"/>
      <c r="AIL136" s="17"/>
      <c r="AIM136" s="17"/>
      <c r="AIN136" s="17"/>
      <c r="AIO136" s="17"/>
      <c r="AIP136" s="17"/>
      <c r="AIQ136" s="17"/>
      <c r="AIR136" s="17"/>
      <c r="AIS136" s="17"/>
      <c r="AIT136" s="17"/>
      <c r="AIU136" s="17"/>
      <c r="AIV136" s="17"/>
      <c r="AIW136" s="17"/>
      <c r="AIX136" s="17"/>
      <c r="AIY136" s="17"/>
      <c r="AIZ136" s="17"/>
      <c r="AJA136" s="17"/>
      <c r="AJB136" s="17"/>
      <c r="AJC136" s="17"/>
      <c r="AJD136" s="17"/>
      <c r="AJE136" s="17"/>
      <c r="AJF136" s="17"/>
      <c r="AJG136" s="17"/>
      <c r="AJH136" s="17"/>
      <c r="AJI136" s="17"/>
      <c r="AJJ136" s="17"/>
      <c r="AJK136" s="17"/>
      <c r="AJL136" s="17"/>
      <c r="AJM136" s="17"/>
      <c r="AJN136" s="17"/>
      <c r="AJO136" s="17"/>
      <c r="AJP136" s="17"/>
      <c r="AJQ136" s="17"/>
      <c r="AJR136" s="17"/>
      <c r="AJS136" s="17"/>
      <c r="AJT136" s="17"/>
      <c r="AJU136" s="17"/>
      <c r="AJV136" s="17"/>
      <c r="AJW136" s="17"/>
      <c r="AJX136" s="17"/>
      <c r="AJY136" s="17"/>
      <c r="AJZ136" s="17"/>
      <c r="AKA136" s="17"/>
      <c r="AKB136" s="17"/>
      <c r="AKC136" s="17"/>
      <c r="AKD136" s="17"/>
      <c r="AKE136" s="17"/>
      <c r="AKF136" s="17"/>
      <c r="AKG136" s="17"/>
      <c r="AKH136" s="17"/>
      <c r="AKI136" s="17"/>
      <c r="AKJ136" s="17"/>
      <c r="AKK136" s="17"/>
      <c r="AKL136" s="17"/>
      <c r="AKM136" s="17"/>
      <c r="AKN136" s="17"/>
      <c r="AKO136" s="17"/>
      <c r="AKP136" s="17"/>
      <c r="AKQ136" s="17"/>
      <c r="AKR136" s="17"/>
      <c r="AKS136" s="17"/>
      <c r="AKT136" s="17"/>
      <c r="AKU136" s="17"/>
      <c r="AKV136" s="17"/>
      <c r="AKW136" s="17"/>
      <c r="AKX136" s="17"/>
      <c r="AKY136" s="17"/>
      <c r="AKZ136" s="17"/>
      <c r="ALA136" s="17"/>
      <c r="ALB136" s="17"/>
      <c r="ALC136" s="17"/>
      <c r="ALD136" s="17"/>
      <c r="ALE136" s="17"/>
      <c r="ALF136" s="17"/>
      <c r="ALG136" s="17"/>
      <c r="ALH136" s="17"/>
      <c r="ALI136" s="17"/>
      <c r="ALJ136" s="17"/>
      <c r="ALK136" s="17"/>
      <c r="ALL136" s="17"/>
      <c r="ALM136" s="17"/>
      <c r="ALN136" s="17"/>
      <c r="ALO136" s="17"/>
      <c r="ALP136" s="17"/>
      <c r="ALQ136" s="17"/>
      <c r="ALR136" s="17"/>
      <c r="ALS136" s="17"/>
      <c r="ALT136" s="17"/>
      <c r="ALU136" s="17"/>
      <c r="ALV136" s="17"/>
      <c r="ALW136" s="17"/>
      <c r="ALX136" s="17"/>
      <c r="ALY136" s="17"/>
      <c r="ALZ136" s="17"/>
      <c r="AMA136" s="17"/>
      <c r="AMB136" s="17"/>
      <c r="AMC136" s="17"/>
      <c r="AMD136" s="17"/>
      <c r="AME136" s="17"/>
      <c r="AMF136" s="17"/>
      <c r="AMG136" s="17"/>
      <c r="AMH136" s="17"/>
      <c r="AMI136" s="17"/>
      <c r="AMJ136" s="17"/>
      <c r="AMK136" s="17"/>
      <c r="AML136" s="17"/>
      <c r="AMM136" s="17"/>
      <c r="AMN136" s="17"/>
      <c r="AMO136" s="17"/>
      <c r="AMP136" s="17"/>
      <c r="AMQ136" s="17"/>
      <c r="AMR136" s="17"/>
      <c r="AMS136" s="17"/>
      <c r="AMT136" s="17"/>
      <c r="AMU136" s="17"/>
      <c r="AMV136" s="17"/>
      <c r="AMW136" s="17"/>
      <c r="AMX136" s="17"/>
      <c r="AMY136" s="17"/>
      <c r="AMZ136" s="17"/>
      <c r="ANA136" s="17"/>
      <c r="ANB136" s="17"/>
      <c r="ANC136" s="17"/>
      <c r="AND136" s="17"/>
      <c r="ANE136" s="17"/>
      <c r="ANF136" s="17"/>
      <c r="ANG136" s="17"/>
      <c r="ANH136" s="17"/>
      <c r="ANI136" s="17"/>
      <c r="ANJ136" s="17"/>
      <c r="ANK136" s="17"/>
      <c r="ANL136" s="17"/>
      <c r="ANM136" s="17"/>
      <c r="ANN136" s="17"/>
      <c r="ANO136" s="17"/>
      <c r="ANP136" s="17"/>
      <c r="ANQ136" s="17"/>
      <c r="ANR136" s="17"/>
      <c r="ANS136" s="17"/>
      <c r="ANT136" s="17"/>
      <c r="ANU136" s="17"/>
      <c r="ANV136" s="17"/>
      <c r="ANW136" s="17"/>
      <c r="ANX136" s="17"/>
      <c r="ANY136" s="17"/>
      <c r="ANZ136" s="17"/>
      <c r="AOA136" s="17"/>
      <c r="AOB136" s="17"/>
      <c r="AOC136" s="17"/>
      <c r="AOD136" s="17"/>
      <c r="AOE136" s="17"/>
      <c r="AOF136" s="17"/>
      <c r="AOG136" s="17"/>
      <c r="AOH136" s="17"/>
      <c r="AOI136" s="17"/>
      <c r="AOJ136" s="17"/>
      <c r="AOK136" s="17"/>
      <c r="AOL136" s="17"/>
      <c r="AOM136" s="17"/>
      <c r="AON136" s="17"/>
      <c r="AOO136" s="17"/>
      <c r="AOP136" s="17"/>
      <c r="AOQ136" s="17"/>
      <c r="AOR136" s="17"/>
      <c r="AOS136" s="17"/>
      <c r="AOT136" s="17"/>
      <c r="AOU136" s="17"/>
      <c r="AOV136" s="17"/>
      <c r="AOW136" s="17"/>
      <c r="AOX136" s="17"/>
      <c r="AOY136" s="17"/>
      <c r="AOZ136" s="17"/>
      <c r="APA136" s="17"/>
      <c r="APB136" s="17"/>
      <c r="APC136" s="17"/>
      <c r="APD136" s="17"/>
      <c r="APE136" s="17"/>
      <c r="APF136" s="17"/>
      <c r="APG136" s="17"/>
      <c r="APH136" s="17"/>
      <c r="API136" s="17"/>
      <c r="APJ136" s="17"/>
      <c r="APK136" s="17"/>
      <c r="APL136" s="17"/>
      <c r="APM136" s="17"/>
      <c r="APN136" s="17"/>
      <c r="APO136" s="17"/>
      <c r="APP136" s="17"/>
      <c r="APQ136" s="17"/>
      <c r="APR136" s="17"/>
      <c r="APS136" s="17"/>
      <c r="APT136" s="17"/>
      <c r="APU136" s="17"/>
      <c r="APV136" s="17"/>
      <c r="APW136" s="17"/>
      <c r="APX136" s="17"/>
      <c r="APY136" s="17"/>
      <c r="APZ136" s="17"/>
      <c r="AQA136" s="17"/>
      <c r="AQB136" s="17"/>
      <c r="AQC136" s="17"/>
      <c r="AQD136" s="17"/>
      <c r="AQE136" s="17"/>
      <c r="AQF136" s="17"/>
      <c r="AQG136" s="17"/>
      <c r="AQH136" s="17"/>
      <c r="AQI136" s="17"/>
      <c r="AQJ136" s="17"/>
      <c r="AQK136" s="17"/>
      <c r="AQL136" s="17"/>
      <c r="AQM136" s="17"/>
      <c r="AQN136" s="17"/>
      <c r="AQO136" s="17"/>
      <c r="AQP136" s="17"/>
      <c r="AQQ136" s="17"/>
      <c r="AQR136" s="17"/>
      <c r="AQS136" s="17"/>
      <c r="AQT136" s="17"/>
      <c r="AQU136" s="17"/>
      <c r="AQV136" s="17"/>
      <c r="AQW136" s="17"/>
      <c r="AQX136" s="17"/>
      <c r="AQY136" s="17"/>
      <c r="AQZ136" s="17"/>
      <c r="ARA136" s="17"/>
      <c r="ARB136" s="17"/>
      <c r="ARC136" s="17"/>
      <c r="ARD136" s="17"/>
      <c r="ARE136" s="17"/>
      <c r="ARF136" s="17"/>
      <c r="ARG136" s="17"/>
      <c r="ARH136" s="17"/>
      <c r="ARI136" s="17"/>
      <c r="ARJ136" s="17"/>
      <c r="ARK136" s="17"/>
      <c r="ARL136" s="17"/>
      <c r="ARM136" s="17"/>
      <c r="ARN136" s="17"/>
      <c r="ARO136" s="17"/>
      <c r="ARP136" s="17"/>
      <c r="ARQ136" s="17"/>
      <c r="ARR136" s="17"/>
      <c r="ARS136" s="17"/>
      <c r="ART136" s="17"/>
      <c r="ARU136" s="17"/>
      <c r="ARV136" s="17"/>
      <c r="ARW136" s="17"/>
      <c r="ARX136" s="17"/>
      <c r="ARY136" s="17"/>
      <c r="ARZ136" s="17"/>
      <c r="ASA136" s="17"/>
      <c r="ASB136" s="17"/>
      <c r="ASC136" s="17"/>
      <c r="ASD136" s="17"/>
      <c r="ASE136" s="17"/>
      <c r="ASF136" s="17"/>
      <c r="ASG136" s="17"/>
      <c r="ASH136" s="17"/>
      <c r="ASI136" s="17"/>
      <c r="ASJ136" s="17"/>
      <c r="ASK136" s="17"/>
      <c r="ASL136" s="17"/>
      <c r="ASM136" s="17"/>
      <c r="ASN136" s="17"/>
      <c r="ASO136" s="17"/>
      <c r="ASP136" s="17"/>
      <c r="ASQ136" s="17"/>
      <c r="ASR136" s="17"/>
      <c r="ASS136" s="17"/>
      <c r="AST136" s="17"/>
      <c r="ASU136" s="17"/>
      <c r="ASV136" s="17"/>
      <c r="ASW136" s="17"/>
      <c r="ASX136" s="17"/>
      <c r="ASY136" s="17"/>
      <c r="ASZ136" s="17"/>
      <c r="ATA136" s="17"/>
      <c r="ATB136" s="17"/>
      <c r="ATC136" s="17"/>
      <c r="ATD136" s="17"/>
      <c r="ATE136" s="17"/>
      <c r="ATF136" s="17"/>
      <c r="ATG136" s="17"/>
      <c r="ATH136" s="17"/>
      <c r="ATI136" s="17"/>
      <c r="ATJ136" s="17"/>
      <c r="ATK136" s="17"/>
      <c r="ATL136" s="17"/>
      <c r="ATM136" s="17"/>
      <c r="ATN136" s="17"/>
      <c r="ATO136" s="17"/>
      <c r="ATP136" s="17"/>
      <c r="ATQ136" s="17"/>
      <c r="ATR136" s="17"/>
      <c r="ATS136" s="17"/>
      <c r="ATT136" s="17"/>
      <c r="ATU136" s="17"/>
      <c r="ATV136" s="17"/>
      <c r="ATW136" s="17"/>
      <c r="ATX136" s="17"/>
      <c r="ATY136" s="17"/>
      <c r="ATZ136" s="17"/>
      <c r="AUA136" s="17"/>
      <c r="AUB136" s="17"/>
      <c r="AUC136" s="17"/>
      <c r="AUD136" s="17"/>
      <c r="AUE136" s="17"/>
      <c r="AUF136" s="17"/>
      <c r="AUG136" s="17"/>
      <c r="AUH136" s="17"/>
      <c r="AUI136" s="17"/>
      <c r="AUJ136" s="17"/>
      <c r="AUK136" s="17"/>
      <c r="AUL136" s="17"/>
      <c r="AUM136" s="17"/>
      <c r="AUN136" s="17"/>
      <c r="AUO136" s="17"/>
      <c r="AUP136" s="17"/>
      <c r="AUQ136" s="17"/>
      <c r="AUR136" s="17"/>
      <c r="AUS136" s="17"/>
      <c r="AUT136" s="17"/>
      <c r="AUU136" s="17"/>
      <c r="AUV136" s="17"/>
      <c r="AUW136" s="17"/>
      <c r="AUX136" s="17"/>
      <c r="AUY136" s="17"/>
      <c r="AUZ136" s="17"/>
      <c r="AVA136" s="17"/>
      <c r="AVB136" s="17"/>
      <c r="AVC136" s="17"/>
      <c r="AVD136" s="17"/>
      <c r="AVE136" s="17"/>
      <c r="AVF136" s="17"/>
      <c r="AVG136" s="17"/>
      <c r="AVH136" s="17"/>
      <c r="AVI136" s="17"/>
      <c r="AVJ136" s="17"/>
      <c r="AVK136" s="17"/>
      <c r="AVL136" s="17"/>
      <c r="AVM136" s="17"/>
      <c r="AVN136" s="17"/>
      <c r="AVO136" s="17"/>
      <c r="AVP136" s="17"/>
      <c r="AVQ136" s="17"/>
      <c r="AVR136" s="17"/>
      <c r="AVS136" s="17"/>
      <c r="AVT136" s="17"/>
      <c r="AVU136" s="17"/>
      <c r="AVV136" s="17"/>
      <c r="AVW136" s="17"/>
      <c r="AVX136" s="17"/>
      <c r="AVY136" s="17"/>
      <c r="AVZ136" s="17"/>
      <c r="AWA136" s="17"/>
      <c r="AWB136" s="17"/>
      <c r="AWC136" s="17"/>
      <c r="AWD136" s="17"/>
      <c r="AWE136" s="17"/>
      <c r="AWF136" s="17"/>
      <c r="AWG136" s="17"/>
      <c r="AWH136" s="17"/>
      <c r="AWI136" s="17"/>
      <c r="AWJ136" s="17"/>
      <c r="AWK136" s="17"/>
      <c r="AWL136" s="17"/>
      <c r="AWM136" s="17"/>
      <c r="AWN136" s="17"/>
      <c r="AWO136" s="17"/>
      <c r="AWP136" s="17"/>
      <c r="AWQ136" s="17"/>
      <c r="AWR136" s="17"/>
      <c r="AWS136" s="17"/>
      <c r="AWT136" s="17"/>
      <c r="AWU136" s="17"/>
      <c r="AWV136" s="17"/>
      <c r="AWW136" s="17"/>
      <c r="AWX136" s="17"/>
      <c r="AWY136" s="17"/>
      <c r="AWZ136" s="17"/>
      <c r="AXA136" s="17"/>
      <c r="AXB136" s="17"/>
      <c r="AXC136" s="17"/>
      <c r="AXD136" s="17"/>
      <c r="AXE136" s="17"/>
      <c r="AXF136" s="17"/>
      <c r="AXG136" s="17"/>
      <c r="AXH136" s="17"/>
      <c r="AXI136" s="17"/>
      <c r="AXJ136" s="17"/>
      <c r="AXK136" s="17"/>
      <c r="AXL136" s="17"/>
      <c r="AXM136" s="17"/>
      <c r="AXN136" s="17"/>
      <c r="AXO136" s="17"/>
      <c r="AXP136" s="17"/>
      <c r="AXQ136" s="17"/>
      <c r="AXR136" s="17"/>
      <c r="AXS136" s="17"/>
      <c r="AXT136" s="17"/>
      <c r="AXU136" s="17"/>
      <c r="AXV136" s="17"/>
      <c r="AXW136" s="17"/>
      <c r="AXX136" s="17"/>
      <c r="AXY136" s="17"/>
      <c r="AXZ136" s="17"/>
      <c r="AYA136" s="17"/>
      <c r="AYB136" s="17"/>
      <c r="AYC136" s="17"/>
      <c r="AYD136" s="17"/>
      <c r="AYE136" s="17"/>
      <c r="AYF136" s="17"/>
      <c r="AYG136" s="17"/>
      <c r="AYH136" s="17"/>
      <c r="AYI136" s="17"/>
      <c r="AYJ136" s="17"/>
      <c r="AYK136" s="17"/>
      <c r="AYL136" s="17"/>
      <c r="AYM136" s="17"/>
      <c r="AYN136" s="17"/>
      <c r="AYO136" s="17"/>
      <c r="AYP136" s="17"/>
      <c r="AYQ136" s="17"/>
      <c r="AYR136" s="17"/>
      <c r="AYS136" s="17"/>
      <c r="AYT136" s="17"/>
      <c r="AYU136" s="17"/>
      <c r="AYV136" s="17"/>
      <c r="AYW136" s="17"/>
      <c r="AYX136" s="17"/>
      <c r="AYY136" s="17"/>
      <c r="AYZ136" s="17"/>
      <c r="AZA136" s="17"/>
      <c r="AZB136" s="17"/>
      <c r="AZC136" s="17"/>
      <c r="AZD136" s="17"/>
      <c r="AZE136" s="17"/>
      <c r="AZF136" s="17"/>
      <c r="AZG136" s="17"/>
      <c r="AZH136" s="17"/>
      <c r="AZI136" s="17"/>
      <c r="AZJ136" s="17"/>
      <c r="AZK136" s="17"/>
      <c r="AZL136" s="17"/>
      <c r="AZM136" s="17"/>
      <c r="AZN136" s="17"/>
      <c r="AZO136" s="17"/>
      <c r="AZP136" s="17"/>
      <c r="AZQ136" s="17"/>
      <c r="AZR136" s="17"/>
      <c r="AZS136" s="17"/>
      <c r="AZT136" s="17"/>
      <c r="AZU136" s="17"/>
      <c r="AZV136" s="17"/>
      <c r="AZW136" s="17"/>
      <c r="AZX136" s="17"/>
      <c r="AZY136" s="17"/>
      <c r="AZZ136" s="17"/>
      <c r="BAA136" s="17"/>
      <c r="BAB136" s="17"/>
      <c r="BAC136" s="17"/>
      <c r="BAD136" s="17"/>
      <c r="BAE136" s="17"/>
      <c r="BAF136" s="17"/>
      <c r="BAG136" s="17"/>
      <c r="BAH136" s="17"/>
      <c r="BAI136" s="17"/>
      <c r="BAJ136" s="17"/>
      <c r="BAK136" s="17"/>
      <c r="BAL136" s="17"/>
      <c r="BAM136" s="17"/>
      <c r="BAN136" s="17"/>
      <c r="BAO136" s="17"/>
      <c r="BAP136" s="17"/>
      <c r="BAQ136" s="17"/>
      <c r="BAR136" s="17"/>
      <c r="BAS136" s="17"/>
      <c r="BAT136" s="17"/>
      <c r="BAU136" s="17"/>
      <c r="BAV136" s="17"/>
      <c r="BAW136" s="17"/>
      <c r="BAX136" s="17"/>
      <c r="BAY136" s="17"/>
      <c r="BAZ136" s="17"/>
      <c r="BBA136" s="17"/>
      <c r="BBB136" s="17"/>
      <c r="BBC136" s="17"/>
      <c r="BBD136" s="17"/>
      <c r="BBE136" s="17"/>
      <c r="BBF136" s="17"/>
      <c r="BBG136" s="17"/>
      <c r="BBH136" s="17"/>
      <c r="BBI136" s="17"/>
      <c r="BBJ136" s="17"/>
      <c r="BBK136" s="17"/>
      <c r="BBL136" s="17"/>
      <c r="BBM136" s="17"/>
      <c r="BBN136" s="17"/>
      <c r="BBO136" s="17"/>
      <c r="BBP136" s="17"/>
      <c r="BBQ136" s="17"/>
      <c r="BBR136" s="17"/>
      <c r="BBS136" s="17"/>
      <c r="BBT136" s="17"/>
      <c r="BBU136" s="17"/>
      <c r="BBV136" s="17"/>
      <c r="BBW136" s="17"/>
      <c r="BBX136" s="17"/>
      <c r="BBY136" s="17"/>
      <c r="BBZ136" s="17"/>
      <c r="BCA136" s="17"/>
      <c r="BCB136" s="17"/>
      <c r="BCC136" s="17"/>
      <c r="BCD136" s="17"/>
      <c r="BCE136" s="17"/>
      <c r="BCF136" s="17"/>
      <c r="BCG136" s="17"/>
      <c r="BCH136" s="17"/>
      <c r="BCI136" s="17"/>
      <c r="BCJ136" s="17"/>
      <c r="BCK136" s="17"/>
      <c r="BCL136" s="17"/>
      <c r="BCM136" s="17"/>
      <c r="BCN136" s="17"/>
      <c r="BCO136" s="17"/>
      <c r="BCP136" s="17"/>
      <c r="BCQ136" s="17"/>
      <c r="BCR136" s="17"/>
      <c r="BCS136" s="17"/>
      <c r="BCT136" s="17"/>
      <c r="BCU136" s="17"/>
      <c r="BCV136" s="17"/>
      <c r="BCW136" s="17"/>
      <c r="BCX136" s="17"/>
      <c r="BCY136" s="17"/>
      <c r="BCZ136" s="17"/>
      <c r="BDA136" s="17"/>
      <c r="BDB136" s="17"/>
      <c r="BDC136" s="17"/>
      <c r="BDD136" s="17"/>
      <c r="BDE136" s="17"/>
      <c r="BDF136" s="17"/>
      <c r="BDG136" s="17"/>
      <c r="BDH136" s="17"/>
      <c r="BDI136" s="17"/>
      <c r="BDJ136" s="17"/>
      <c r="BDK136" s="17"/>
      <c r="BDL136" s="17"/>
      <c r="BDM136" s="17"/>
      <c r="BDN136" s="17"/>
      <c r="BDO136" s="17"/>
      <c r="BDP136" s="17"/>
      <c r="BDQ136" s="17"/>
      <c r="BDR136" s="17"/>
      <c r="BDS136" s="17"/>
      <c r="BDT136" s="17"/>
      <c r="BDU136" s="17"/>
      <c r="BDV136" s="17"/>
      <c r="BDW136" s="17"/>
      <c r="BDX136" s="17"/>
      <c r="BDY136" s="17"/>
      <c r="BDZ136" s="17"/>
      <c r="BEA136" s="17"/>
      <c r="BEB136" s="17"/>
      <c r="BEC136" s="17"/>
      <c r="BED136" s="17"/>
      <c r="BEE136" s="17"/>
      <c r="BEF136" s="17"/>
      <c r="BEG136" s="17"/>
      <c r="BEH136" s="17"/>
      <c r="BEI136" s="17"/>
      <c r="BEJ136" s="17"/>
      <c r="BEK136" s="17"/>
      <c r="BEL136" s="17"/>
      <c r="BEM136" s="17"/>
      <c r="BEN136" s="17"/>
      <c r="BEO136" s="17"/>
      <c r="BEP136" s="17"/>
      <c r="BEQ136" s="17"/>
      <c r="BER136" s="17"/>
      <c r="BES136" s="17"/>
      <c r="BET136" s="17"/>
      <c r="BEU136" s="17"/>
      <c r="BEV136" s="17"/>
      <c r="BEW136" s="17"/>
      <c r="BEX136" s="17"/>
      <c r="BEY136" s="17"/>
      <c r="BEZ136" s="17"/>
      <c r="BFA136" s="17"/>
      <c r="BFB136" s="17"/>
      <c r="BFC136" s="17"/>
      <c r="BFD136" s="17"/>
      <c r="BFE136" s="17"/>
      <c r="BFF136" s="17"/>
      <c r="BFG136" s="17"/>
      <c r="BFH136" s="17"/>
      <c r="BFI136" s="17"/>
      <c r="BFJ136" s="17"/>
      <c r="BFK136" s="17"/>
      <c r="BFL136" s="17"/>
      <c r="BFM136" s="17"/>
      <c r="BFN136" s="17"/>
      <c r="BFO136" s="17"/>
      <c r="BFP136" s="17"/>
      <c r="BFQ136" s="17"/>
      <c r="BFR136" s="17"/>
      <c r="BFS136" s="17"/>
      <c r="BFT136" s="17"/>
      <c r="BFU136" s="17"/>
      <c r="BFV136" s="17"/>
      <c r="BFW136" s="17"/>
      <c r="BFX136" s="17"/>
      <c r="BFY136" s="17"/>
      <c r="BFZ136" s="17"/>
      <c r="BGA136" s="17"/>
      <c r="BGB136" s="17"/>
      <c r="BGC136" s="17"/>
      <c r="BGD136" s="17"/>
      <c r="BGE136" s="17"/>
      <c r="BGF136" s="17"/>
      <c r="BGG136" s="17"/>
      <c r="BGH136" s="17"/>
      <c r="BGI136" s="17"/>
      <c r="BGJ136" s="17"/>
      <c r="BGK136" s="17"/>
      <c r="BGL136" s="17"/>
      <c r="BGM136" s="17"/>
      <c r="BGN136" s="17"/>
      <c r="BGO136" s="17"/>
      <c r="BGP136" s="17"/>
      <c r="BGQ136" s="17"/>
      <c r="BGR136" s="17"/>
      <c r="BGS136" s="17"/>
      <c r="BGT136" s="17"/>
      <c r="BGU136" s="17"/>
      <c r="BGV136" s="17"/>
      <c r="BGW136" s="17"/>
      <c r="BGX136" s="17"/>
      <c r="BGY136" s="17"/>
      <c r="BGZ136" s="17"/>
      <c r="BHA136" s="17"/>
      <c r="BHB136" s="17"/>
      <c r="BHC136" s="17"/>
      <c r="BHD136" s="17"/>
      <c r="BHE136" s="17"/>
      <c r="BHF136" s="17"/>
      <c r="BHG136" s="17"/>
      <c r="BHH136" s="17"/>
      <c r="BHI136" s="17"/>
      <c r="BHJ136" s="17"/>
      <c r="BHK136" s="17"/>
      <c r="BHL136" s="17"/>
      <c r="BHM136" s="17"/>
      <c r="BHN136" s="17"/>
      <c r="BHO136" s="17"/>
      <c r="BHP136" s="17"/>
      <c r="BHQ136" s="17"/>
      <c r="BHR136" s="17"/>
      <c r="BHS136" s="17"/>
      <c r="BHT136" s="17"/>
      <c r="BHU136" s="17"/>
      <c r="BHV136" s="17"/>
      <c r="BHW136" s="17"/>
      <c r="BHX136" s="17"/>
      <c r="BHY136" s="17"/>
      <c r="BHZ136" s="17"/>
      <c r="BIA136" s="17"/>
      <c r="BIB136" s="17"/>
      <c r="BIC136" s="17"/>
      <c r="BID136" s="17"/>
      <c r="BIE136" s="17"/>
      <c r="BIF136" s="17"/>
      <c r="BIG136" s="17"/>
      <c r="BIH136" s="17"/>
      <c r="BII136" s="17"/>
      <c r="BIJ136" s="17"/>
      <c r="BIK136" s="17"/>
      <c r="BIL136" s="17"/>
      <c r="BIM136" s="17"/>
      <c r="BIN136" s="17"/>
      <c r="BIO136" s="17"/>
      <c r="BIP136" s="17"/>
      <c r="BIQ136" s="17"/>
      <c r="BIR136" s="17"/>
      <c r="BIS136" s="17"/>
      <c r="BIT136" s="17"/>
      <c r="BIU136" s="17"/>
      <c r="BIV136" s="17"/>
      <c r="BIW136" s="17"/>
      <c r="BIX136" s="17"/>
      <c r="BIY136" s="17"/>
      <c r="BIZ136" s="17"/>
      <c r="BJA136" s="17"/>
      <c r="BJB136" s="17"/>
      <c r="BJC136" s="17"/>
      <c r="BJD136" s="17"/>
      <c r="BJE136" s="17"/>
      <c r="BJF136" s="17"/>
      <c r="BJG136" s="17"/>
      <c r="BJH136" s="17"/>
      <c r="BJI136" s="17"/>
      <c r="BJJ136" s="17"/>
      <c r="BJK136" s="17"/>
      <c r="BJL136" s="17"/>
      <c r="BJM136" s="17"/>
      <c r="BJN136" s="17"/>
      <c r="BJO136" s="17"/>
      <c r="BJP136" s="17"/>
      <c r="BJQ136" s="17"/>
      <c r="BJR136" s="17"/>
      <c r="BJS136" s="17"/>
      <c r="BJT136" s="17"/>
      <c r="BJU136" s="17"/>
      <c r="BJV136" s="17"/>
      <c r="BJW136" s="17"/>
      <c r="BJX136" s="17"/>
      <c r="BJY136" s="17"/>
      <c r="BJZ136" s="17"/>
      <c r="BKA136" s="17"/>
      <c r="BKB136" s="17"/>
      <c r="BKC136" s="17"/>
      <c r="BKD136" s="17"/>
      <c r="BKE136" s="17"/>
      <c r="BKF136" s="17"/>
      <c r="BKG136" s="17"/>
      <c r="BKH136" s="17"/>
      <c r="BKI136" s="17"/>
      <c r="BKJ136" s="17"/>
      <c r="BKK136" s="17"/>
      <c r="BKL136" s="17"/>
      <c r="BKM136" s="17"/>
      <c r="BKN136" s="17"/>
      <c r="BKO136" s="17"/>
      <c r="BKP136" s="17"/>
      <c r="BKQ136" s="17"/>
      <c r="BKR136" s="17"/>
      <c r="BKS136" s="17"/>
      <c r="BKT136" s="17"/>
      <c r="BKU136" s="17"/>
      <c r="BKV136" s="17"/>
      <c r="BKW136" s="17"/>
      <c r="BKX136" s="17"/>
      <c r="BKY136" s="17"/>
      <c r="BKZ136" s="17"/>
      <c r="BLA136" s="17"/>
      <c r="BLB136" s="17"/>
      <c r="BLC136" s="17"/>
      <c r="BLD136" s="17"/>
      <c r="BLE136" s="17"/>
      <c r="BLF136" s="17"/>
      <c r="BLG136" s="17"/>
      <c r="BLH136" s="17"/>
      <c r="BLI136" s="17"/>
      <c r="BLJ136" s="17"/>
      <c r="BLK136" s="17"/>
      <c r="BLL136" s="17"/>
      <c r="BLM136" s="17"/>
      <c r="BLN136" s="17"/>
      <c r="BLO136" s="17"/>
      <c r="BLP136" s="17"/>
      <c r="BLQ136" s="17"/>
      <c r="BLR136" s="17"/>
      <c r="BLS136" s="17"/>
      <c r="BLT136" s="17"/>
      <c r="BLU136" s="17"/>
      <c r="BLV136" s="17"/>
      <c r="BLW136" s="17"/>
      <c r="BLX136" s="17"/>
      <c r="BLY136" s="17"/>
      <c r="BLZ136" s="17"/>
      <c r="BMA136" s="17"/>
      <c r="BMB136" s="17"/>
      <c r="BMC136" s="17"/>
      <c r="BMD136" s="17"/>
      <c r="BME136" s="17"/>
      <c r="BMF136" s="17"/>
      <c r="BMG136" s="17"/>
      <c r="BMH136" s="17"/>
      <c r="BMI136" s="17"/>
      <c r="BMJ136" s="17"/>
      <c r="BMK136" s="17"/>
      <c r="BML136" s="17"/>
      <c r="BMM136" s="17"/>
      <c r="BMN136" s="17"/>
      <c r="BMO136" s="17"/>
      <c r="BMP136" s="17"/>
      <c r="BMQ136" s="17"/>
      <c r="BMR136" s="17"/>
      <c r="BMS136" s="17"/>
      <c r="BMT136" s="17"/>
      <c r="BMU136" s="17"/>
      <c r="BMV136" s="17"/>
      <c r="BMW136" s="17"/>
      <c r="BMX136" s="17"/>
      <c r="BMY136" s="17"/>
      <c r="BMZ136" s="17"/>
      <c r="BNA136" s="17"/>
      <c r="BNB136" s="17"/>
      <c r="BNC136" s="17"/>
      <c r="BND136" s="17"/>
      <c r="BNE136" s="17"/>
      <c r="BNF136" s="17"/>
      <c r="BNG136" s="17"/>
      <c r="BNH136" s="17"/>
      <c r="BNI136" s="17"/>
      <c r="BNJ136" s="17"/>
      <c r="BNK136" s="17"/>
      <c r="BNL136" s="17"/>
      <c r="BNM136" s="17"/>
      <c r="BNN136" s="17"/>
      <c r="BNO136" s="17"/>
      <c r="BNP136" s="17"/>
      <c r="BNQ136" s="17"/>
      <c r="BNR136" s="17"/>
      <c r="BNS136" s="17"/>
      <c r="BNT136" s="17"/>
      <c r="BNU136" s="17"/>
      <c r="BNV136" s="17"/>
      <c r="BNW136" s="17"/>
      <c r="BNX136" s="17"/>
      <c r="BNY136" s="17"/>
      <c r="BNZ136" s="17"/>
      <c r="BOA136" s="17"/>
      <c r="BOB136" s="17"/>
      <c r="BOC136" s="17"/>
      <c r="BOD136" s="17"/>
      <c r="BOE136" s="17"/>
      <c r="BOF136" s="17"/>
      <c r="BOG136" s="17"/>
      <c r="BOH136" s="17"/>
      <c r="BOI136" s="17"/>
      <c r="BOJ136" s="17"/>
      <c r="BOK136" s="17"/>
      <c r="BOL136" s="17"/>
      <c r="BOM136" s="17"/>
      <c r="BON136" s="17"/>
      <c r="BOO136" s="17"/>
      <c r="BOP136" s="17"/>
      <c r="BOQ136" s="17"/>
      <c r="BOR136" s="17"/>
      <c r="BOS136" s="17"/>
      <c r="BOT136" s="17"/>
      <c r="BOU136" s="17"/>
      <c r="BOV136" s="17"/>
      <c r="BOW136" s="17"/>
      <c r="BOX136" s="17"/>
      <c r="BOY136" s="17"/>
      <c r="BOZ136" s="17"/>
      <c r="BPA136" s="17"/>
      <c r="BPB136" s="17"/>
      <c r="BPC136" s="17"/>
      <c r="BPD136" s="17"/>
      <c r="BPE136" s="17"/>
      <c r="BPF136" s="17"/>
      <c r="BPG136" s="17"/>
      <c r="BPH136" s="17"/>
      <c r="BPI136" s="17"/>
      <c r="BPJ136" s="17"/>
      <c r="BPK136" s="17"/>
      <c r="BPL136" s="17"/>
      <c r="BPM136" s="17"/>
      <c r="BPN136" s="17"/>
      <c r="BPO136" s="17"/>
      <c r="BPP136" s="17"/>
      <c r="BPQ136" s="17"/>
      <c r="BPR136" s="17"/>
      <c r="BPS136" s="17"/>
      <c r="BPT136" s="17"/>
      <c r="BPU136" s="17"/>
      <c r="BPV136" s="17"/>
      <c r="BPW136" s="17"/>
      <c r="BPX136" s="17"/>
      <c r="BPY136" s="17"/>
      <c r="BPZ136" s="17"/>
      <c r="BQA136" s="17"/>
      <c r="BQB136" s="17"/>
      <c r="BQC136" s="17"/>
      <c r="BQD136" s="17"/>
      <c r="BQE136" s="17"/>
      <c r="BQF136" s="17"/>
      <c r="BQG136" s="17"/>
      <c r="BQH136" s="17"/>
      <c r="BQI136" s="17"/>
      <c r="BQJ136" s="17"/>
      <c r="BQK136" s="17"/>
      <c r="BQL136" s="17"/>
      <c r="BQM136" s="17"/>
      <c r="BQN136" s="17"/>
      <c r="BQO136" s="17"/>
      <c r="BQP136" s="17"/>
      <c r="BQQ136" s="17"/>
      <c r="BQR136" s="17"/>
      <c r="BQS136" s="17"/>
      <c r="BQT136" s="17"/>
      <c r="BQU136" s="17"/>
      <c r="BQV136" s="17"/>
      <c r="BQW136" s="17"/>
      <c r="BQX136" s="17"/>
      <c r="BQY136" s="17"/>
      <c r="BQZ136" s="17"/>
      <c r="BRA136" s="17"/>
      <c r="BRB136" s="17"/>
      <c r="BRC136" s="17"/>
      <c r="BRD136" s="17"/>
      <c r="BRE136" s="17"/>
      <c r="BRF136" s="17"/>
      <c r="BRG136" s="17"/>
      <c r="BRH136" s="17"/>
      <c r="BRI136" s="17"/>
      <c r="BRJ136" s="17"/>
      <c r="BRK136" s="17"/>
      <c r="BRL136" s="17"/>
      <c r="BRM136" s="17"/>
      <c r="BRN136" s="17"/>
      <c r="BRO136" s="17"/>
      <c r="BRP136" s="17"/>
      <c r="BRQ136" s="17"/>
      <c r="BRR136" s="17"/>
      <c r="BRS136" s="17"/>
      <c r="BRT136" s="17"/>
      <c r="BRU136" s="17"/>
      <c r="BRV136" s="17"/>
      <c r="BRW136" s="17"/>
      <c r="BRX136" s="17"/>
      <c r="BRY136" s="17"/>
      <c r="BRZ136" s="17"/>
      <c r="BSA136" s="17"/>
      <c r="BSB136" s="17"/>
      <c r="BSC136" s="17"/>
      <c r="BSD136" s="17"/>
      <c r="BSE136" s="17"/>
      <c r="BSF136" s="17"/>
      <c r="BSG136" s="17"/>
      <c r="BSH136" s="17"/>
      <c r="BSI136" s="17"/>
      <c r="BSJ136" s="17"/>
      <c r="BSK136" s="17"/>
      <c r="BSL136" s="17"/>
      <c r="BSM136" s="17"/>
      <c r="BSN136" s="17"/>
      <c r="BSO136" s="17"/>
      <c r="BSP136" s="17"/>
      <c r="BSQ136" s="17"/>
      <c r="BSR136" s="17"/>
      <c r="BSS136" s="17"/>
      <c r="BST136" s="17"/>
      <c r="BSU136" s="17"/>
      <c r="BSV136" s="17"/>
      <c r="BSW136" s="17"/>
      <c r="BSX136" s="17"/>
      <c r="BSY136" s="17"/>
      <c r="BSZ136" s="17"/>
      <c r="BTA136" s="17"/>
      <c r="BTB136" s="17"/>
      <c r="BTC136" s="17"/>
      <c r="BTD136" s="17"/>
      <c r="BTE136" s="17"/>
      <c r="BTF136" s="17"/>
      <c r="BTG136" s="17"/>
      <c r="BTH136" s="17"/>
      <c r="BTI136" s="17"/>
      <c r="BTJ136" s="17"/>
      <c r="BTK136" s="17"/>
      <c r="BTL136" s="17"/>
      <c r="BTM136" s="17"/>
      <c r="BTN136" s="17"/>
      <c r="BTO136" s="17"/>
      <c r="BTP136" s="17"/>
      <c r="BTQ136" s="17"/>
      <c r="BTR136" s="17"/>
      <c r="BTS136" s="17"/>
      <c r="BTT136" s="17"/>
      <c r="BTU136" s="17"/>
      <c r="BTV136" s="17"/>
      <c r="BTW136" s="17"/>
      <c r="BTX136" s="17"/>
      <c r="BTY136" s="17"/>
      <c r="BTZ136" s="17"/>
      <c r="BUA136" s="17"/>
      <c r="BUB136" s="17"/>
      <c r="BUC136" s="17"/>
      <c r="BUD136" s="17"/>
      <c r="BUE136" s="17"/>
      <c r="BUF136" s="17"/>
      <c r="BUG136" s="17"/>
      <c r="BUH136" s="17"/>
      <c r="BUI136" s="17"/>
      <c r="BUJ136" s="17"/>
      <c r="BUK136" s="17"/>
      <c r="BUL136" s="17"/>
      <c r="BUM136" s="17"/>
      <c r="BUN136" s="17"/>
      <c r="BUO136" s="17"/>
      <c r="BUP136" s="17"/>
      <c r="BUQ136" s="17"/>
      <c r="BUR136" s="17"/>
      <c r="BUS136" s="17"/>
      <c r="BUT136" s="17"/>
      <c r="BUU136" s="17"/>
      <c r="BUV136" s="17"/>
      <c r="BUW136" s="17"/>
      <c r="BUX136" s="17"/>
      <c r="BUY136" s="17"/>
      <c r="BUZ136" s="17"/>
      <c r="BVA136" s="17"/>
      <c r="BVB136" s="17"/>
      <c r="BVC136" s="17"/>
      <c r="BVD136" s="17"/>
      <c r="BVE136" s="17"/>
      <c r="BVF136" s="17"/>
      <c r="BVG136" s="17"/>
      <c r="BVH136" s="17"/>
      <c r="BVI136" s="17"/>
      <c r="BVJ136" s="17"/>
      <c r="BVK136" s="17"/>
      <c r="BVL136" s="17"/>
      <c r="BVM136" s="17"/>
      <c r="BVN136" s="17"/>
      <c r="BVO136" s="17"/>
      <c r="BVP136" s="17"/>
      <c r="BVQ136" s="17"/>
      <c r="BVR136" s="17"/>
      <c r="BVS136" s="17"/>
      <c r="BVT136" s="17"/>
      <c r="BVU136" s="17"/>
      <c r="BVV136" s="17"/>
      <c r="BVW136" s="17"/>
      <c r="BVX136" s="17"/>
      <c r="BVY136" s="17"/>
      <c r="BVZ136" s="17"/>
      <c r="BWA136" s="17"/>
      <c r="BWB136" s="17"/>
      <c r="BWC136" s="17"/>
      <c r="BWD136" s="17"/>
      <c r="BWE136" s="17"/>
      <c r="BWF136" s="17"/>
      <c r="BWG136" s="17"/>
      <c r="BWH136" s="17"/>
      <c r="BWI136" s="17"/>
      <c r="BWJ136" s="17"/>
      <c r="BWK136" s="17"/>
      <c r="BWL136" s="17"/>
      <c r="BWM136" s="17"/>
      <c r="BWN136" s="17"/>
      <c r="BWO136" s="17"/>
      <c r="BWP136" s="17"/>
      <c r="BWQ136" s="17"/>
      <c r="BWR136" s="17"/>
      <c r="BWS136" s="17"/>
      <c r="BWT136" s="17"/>
      <c r="BWU136" s="17"/>
      <c r="BWV136" s="17"/>
      <c r="BWW136" s="17"/>
      <c r="BWX136" s="17"/>
      <c r="BWY136" s="17"/>
      <c r="BWZ136" s="17"/>
      <c r="BXA136" s="17"/>
      <c r="BXB136" s="17"/>
      <c r="BXC136" s="17"/>
      <c r="BXD136" s="17"/>
      <c r="BXE136" s="17"/>
      <c r="BXF136" s="17"/>
      <c r="BXG136" s="17"/>
      <c r="BXH136" s="17"/>
      <c r="BXI136" s="17"/>
      <c r="BXJ136" s="17"/>
      <c r="BXK136" s="17"/>
      <c r="BXL136" s="17"/>
      <c r="BXM136" s="17"/>
      <c r="BXN136" s="17"/>
      <c r="BXO136" s="17"/>
      <c r="BXP136" s="17"/>
      <c r="BXQ136" s="17"/>
      <c r="BXR136" s="17"/>
      <c r="BXS136" s="17"/>
      <c r="BXT136" s="17"/>
      <c r="BXU136" s="17"/>
      <c r="BXV136" s="17"/>
      <c r="BXW136" s="17"/>
      <c r="BXX136" s="17"/>
      <c r="BXY136" s="17"/>
      <c r="BXZ136" s="17"/>
      <c r="BYA136" s="17"/>
      <c r="BYB136" s="17"/>
      <c r="BYC136" s="17"/>
      <c r="BYD136" s="17"/>
      <c r="BYE136" s="17"/>
      <c r="BYF136" s="17"/>
      <c r="BYG136" s="17"/>
      <c r="BYH136" s="17"/>
      <c r="BYI136" s="17"/>
      <c r="BYJ136" s="17"/>
      <c r="BYK136" s="17"/>
      <c r="BYL136" s="17"/>
      <c r="BYM136" s="17"/>
      <c r="BYN136" s="17"/>
      <c r="BYO136" s="17"/>
      <c r="BYP136" s="17"/>
      <c r="BYQ136" s="17"/>
      <c r="BYR136" s="17"/>
      <c r="BYS136" s="17"/>
      <c r="BYT136" s="17"/>
      <c r="BYU136" s="17"/>
      <c r="BYV136" s="17"/>
      <c r="BYW136" s="17"/>
      <c r="BYX136" s="17"/>
      <c r="BYY136" s="17"/>
      <c r="BYZ136" s="17"/>
      <c r="BZA136" s="17"/>
      <c r="BZB136" s="17"/>
      <c r="BZC136" s="17"/>
      <c r="BZD136" s="17"/>
      <c r="BZE136" s="17"/>
      <c r="BZF136" s="17"/>
      <c r="BZG136" s="17"/>
      <c r="BZH136" s="17"/>
      <c r="BZI136" s="17"/>
      <c r="BZJ136" s="17"/>
      <c r="BZK136" s="17"/>
      <c r="BZL136" s="17"/>
      <c r="BZM136" s="17"/>
      <c r="BZN136" s="17"/>
      <c r="BZO136" s="17"/>
      <c r="BZP136" s="17"/>
      <c r="BZQ136" s="17"/>
      <c r="BZR136" s="17"/>
      <c r="BZS136" s="17"/>
      <c r="BZT136" s="17"/>
      <c r="BZU136" s="17"/>
      <c r="BZV136" s="17"/>
      <c r="BZW136" s="17"/>
      <c r="BZX136" s="17"/>
      <c r="BZY136" s="17"/>
      <c r="BZZ136" s="17"/>
      <c r="CAA136" s="17"/>
      <c r="CAB136" s="17"/>
      <c r="CAC136" s="17"/>
      <c r="CAD136" s="17"/>
      <c r="CAE136" s="17"/>
      <c r="CAF136" s="17"/>
      <c r="CAG136" s="17"/>
      <c r="CAH136" s="17"/>
      <c r="CAI136" s="17"/>
      <c r="CAJ136" s="17"/>
      <c r="CAK136" s="17"/>
      <c r="CAL136" s="17"/>
      <c r="CAM136" s="17"/>
      <c r="CAN136" s="17"/>
      <c r="CAO136" s="17"/>
      <c r="CAP136" s="17"/>
      <c r="CAQ136" s="17"/>
      <c r="CAR136" s="17"/>
      <c r="CAS136" s="17"/>
      <c r="CAT136" s="17"/>
      <c r="CAU136" s="17"/>
      <c r="CAV136" s="17"/>
      <c r="CAW136" s="17"/>
      <c r="CAX136" s="17"/>
      <c r="CAY136" s="17"/>
      <c r="CAZ136" s="17"/>
      <c r="CBA136" s="17"/>
      <c r="CBB136" s="17"/>
      <c r="CBC136" s="17"/>
      <c r="CBD136" s="17"/>
      <c r="CBE136" s="17"/>
      <c r="CBF136" s="17"/>
      <c r="CBG136" s="17"/>
      <c r="CBH136" s="17"/>
      <c r="CBI136" s="17"/>
      <c r="CBJ136" s="17"/>
      <c r="CBK136" s="17"/>
      <c r="CBL136" s="17"/>
      <c r="CBM136" s="17"/>
      <c r="CBN136" s="17"/>
      <c r="CBO136" s="17"/>
      <c r="CBP136" s="17"/>
      <c r="CBQ136" s="17"/>
      <c r="CBR136" s="17"/>
      <c r="CBS136" s="17"/>
      <c r="CBT136" s="17"/>
      <c r="CBU136" s="17"/>
      <c r="CBV136" s="17"/>
      <c r="CBW136" s="17"/>
      <c r="CBX136" s="17"/>
      <c r="CBY136" s="17"/>
      <c r="CBZ136" s="17"/>
      <c r="CCA136" s="17"/>
      <c r="CCB136" s="17"/>
      <c r="CCC136" s="17"/>
      <c r="CCD136" s="17"/>
      <c r="CCE136" s="17"/>
      <c r="CCF136" s="17"/>
      <c r="CCG136" s="17"/>
      <c r="CCH136" s="17"/>
      <c r="CCI136" s="17"/>
      <c r="CCJ136" s="17"/>
      <c r="CCK136" s="17"/>
      <c r="CCL136" s="17"/>
      <c r="CCM136" s="17"/>
      <c r="CCN136" s="17"/>
      <c r="CCO136" s="17"/>
      <c r="CCP136" s="17"/>
      <c r="CCQ136" s="17"/>
      <c r="CCR136" s="17"/>
      <c r="CCS136" s="17"/>
      <c r="CCT136" s="17"/>
      <c r="CCU136" s="17"/>
      <c r="CCV136" s="17"/>
      <c r="CCW136" s="17"/>
      <c r="CCX136" s="17"/>
      <c r="CCY136" s="17"/>
      <c r="CCZ136" s="17"/>
      <c r="CDA136" s="17"/>
      <c r="CDB136" s="17"/>
      <c r="CDC136" s="17"/>
      <c r="CDD136" s="17"/>
      <c r="CDE136" s="17"/>
      <c r="CDF136" s="17"/>
      <c r="CDG136" s="17"/>
      <c r="CDH136" s="17"/>
      <c r="CDI136" s="17"/>
      <c r="CDJ136" s="17"/>
      <c r="CDK136" s="17"/>
      <c r="CDL136" s="17"/>
      <c r="CDM136" s="17"/>
      <c r="CDN136" s="17"/>
      <c r="CDO136" s="17"/>
      <c r="CDP136" s="17"/>
      <c r="CDQ136" s="17"/>
      <c r="CDR136" s="17"/>
      <c r="CDS136" s="17"/>
      <c r="CDT136" s="17"/>
      <c r="CDU136" s="17"/>
      <c r="CDV136" s="17"/>
      <c r="CDW136" s="17"/>
      <c r="CDX136" s="17"/>
      <c r="CDY136" s="17"/>
      <c r="CDZ136" s="17"/>
      <c r="CEA136" s="17"/>
      <c r="CEB136" s="17"/>
      <c r="CEC136" s="17"/>
      <c r="CED136" s="17"/>
      <c r="CEE136" s="17"/>
      <c r="CEF136" s="17"/>
      <c r="CEG136" s="17"/>
      <c r="CEH136" s="17"/>
      <c r="CEI136" s="17"/>
      <c r="CEJ136" s="17"/>
      <c r="CEK136" s="17"/>
      <c r="CEL136" s="17"/>
      <c r="CEM136" s="17"/>
      <c r="CEN136" s="17"/>
      <c r="CEO136" s="17"/>
      <c r="CEP136" s="17"/>
      <c r="CEQ136" s="17"/>
      <c r="CER136" s="17"/>
      <c r="CES136" s="17"/>
      <c r="CET136" s="17"/>
      <c r="CEU136" s="17"/>
      <c r="CEV136" s="17"/>
      <c r="CEW136" s="17"/>
      <c r="CEX136" s="17"/>
      <c r="CEY136" s="17"/>
      <c r="CEZ136" s="17"/>
      <c r="CFA136" s="17"/>
      <c r="CFB136" s="17"/>
      <c r="CFC136" s="17"/>
      <c r="CFD136" s="17"/>
      <c r="CFE136" s="17"/>
      <c r="CFF136" s="17"/>
      <c r="CFG136" s="17"/>
      <c r="CFH136" s="17"/>
      <c r="CFI136" s="17"/>
      <c r="CFJ136" s="17"/>
      <c r="CFK136" s="17"/>
      <c r="CFL136" s="17"/>
      <c r="CFM136" s="17"/>
      <c r="CFN136" s="17"/>
      <c r="CFO136" s="17"/>
      <c r="CFP136" s="17"/>
      <c r="CFQ136" s="17"/>
      <c r="CFR136" s="17"/>
      <c r="CFS136" s="17"/>
      <c r="CFT136" s="17"/>
      <c r="CFU136" s="17"/>
      <c r="CFV136" s="17"/>
      <c r="CFW136" s="17"/>
      <c r="CFX136" s="17"/>
      <c r="CFY136" s="17"/>
      <c r="CFZ136" s="17"/>
      <c r="CGA136" s="17"/>
      <c r="CGB136" s="17"/>
      <c r="CGC136" s="17"/>
      <c r="CGD136" s="17"/>
      <c r="CGE136" s="17"/>
      <c r="CGF136" s="17"/>
      <c r="CGG136" s="17"/>
      <c r="CGH136" s="17"/>
      <c r="CGI136" s="17"/>
      <c r="CGJ136" s="17"/>
      <c r="CGK136" s="17"/>
      <c r="CGL136" s="17"/>
      <c r="CGM136" s="17"/>
      <c r="CGN136" s="17"/>
      <c r="CGO136" s="17"/>
      <c r="CGP136" s="17"/>
      <c r="CGQ136" s="17"/>
      <c r="CGR136" s="17"/>
      <c r="CGS136" s="17"/>
      <c r="CGT136" s="17"/>
      <c r="CGU136" s="17"/>
      <c r="CGV136" s="17"/>
      <c r="CGW136" s="17"/>
      <c r="CGX136" s="17"/>
      <c r="CGY136" s="17"/>
      <c r="CGZ136" s="17"/>
      <c r="CHA136" s="17"/>
      <c r="CHB136" s="17"/>
      <c r="CHC136" s="17"/>
      <c r="CHD136" s="17"/>
      <c r="CHE136" s="17"/>
      <c r="CHF136" s="17"/>
      <c r="CHG136" s="17"/>
      <c r="CHH136" s="17"/>
      <c r="CHI136" s="17"/>
      <c r="CHJ136" s="17"/>
      <c r="CHK136" s="17"/>
      <c r="CHL136" s="17"/>
      <c r="CHM136" s="17"/>
      <c r="CHN136" s="17"/>
      <c r="CHO136" s="17"/>
      <c r="CHP136" s="17"/>
      <c r="CHQ136" s="17"/>
      <c r="CHR136" s="17"/>
      <c r="CHS136" s="17"/>
      <c r="CHT136" s="17"/>
      <c r="CHU136" s="17"/>
      <c r="CHV136" s="17"/>
      <c r="CHW136" s="17"/>
      <c r="CHX136" s="17"/>
      <c r="CHY136" s="17"/>
      <c r="CHZ136" s="17"/>
      <c r="CIA136" s="17"/>
      <c r="CIB136" s="17"/>
      <c r="CIC136" s="17"/>
      <c r="CID136" s="17"/>
      <c r="CIE136" s="17"/>
      <c r="CIF136" s="17"/>
      <c r="CIG136" s="17"/>
      <c r="CIH136" s="17"/>
      <c r="CII136" s="17"/>
      <c r="CIJ136" s="17"/>
      <c r="CIK136" s="17"/>
      <c r="CIL136" s="17"/>
      <c r="CIM136" s="17"/>
      <c r="CIN136" s="17"/>
      <c r="CIO136" s="17"/>
      <c r="CIP136" s="17"/>
      <c r="CIQ136" s="17"/>
      <c r="CIR136" s="17"/>
      <c r="CIS136" s="17"/>
      <c r="CIT136" s="17"/>
      <c r="CIU136" s="17"/>
      <c r="CIV136" s="17"/>
      <c r="CIW136" s="17"/>
      <c r="CIX136" s="17"/>
      <c r="CIY136" s="17"/>
      <c r="CIZ136" s="17"/>
      <c r="CJA136" s="17"/>
      <c r="CJB136" s="17"/>
      <c r="CJC136" s="17"/>
      <c r="CJD136" s="17"/>
      <c r="CJE136" s="17"/>
      <c r="CJF136" s="17"/>
      <c r="CJG136" s="17"/>
      <c r="CJH136" s="17"/>
      <c r="CJI136" s="17"/>
      <c r="CJJ136" s="17"/>
      <c r="CJK136" s="17"/>
      <c r="CJL136" s="17"/>
      <c r="CJM136" s="17"/>
      <c r="CJN136" s="17"/>
      <c r="CJO136" s="17"/>
      <c r="CJP136" s="17"/>
      <c r="CJQ136" s="17"/>
      <c r="CJR136" s="17"/>
      <c r="CJS136" s="17"/>
      <c r="CJT136" s="17"/>
      <c r="CJU136" s="17"/>
      <c r="CJV136" s="17"/>
      <c r="CJW136" s="17"/>
      <c r="CJX136" s="17"/>
      <c r="CJY136" s="17"/>
      <c r="CJZ136" s="17"/>
      <c r="CKA136" s="17"/>
      <c r="CKB136" s="17"/>
      <c r="CKC136" s="17"/>
      <c r="CKD136" s="17"/>
      <c r="CKE136" s="17"/>
      <c r="CKF136" s="17"/>
      <c r="CKG136" s="17"/>
      <c r="CKH136" s="17"/>
      <c r="CKI136" s="17"/>
      <c r="CKJ136" s="17"/>
      <c r="CKK136" s="17"/>
      <c r="CKL136" s="17"/>
      <c r="CKM136" s="17"/>
      <c r="CKN136" s="17"/>
      <c r="CKO136" s="17"/>
      <c r="CKP136" s="17"/>
      <c r="CKQ136" s="17"/>
      <c r="CKR136" s="17"/>
      <c r="CKS136" s="17"/>
      <c r="CKT136" s="17"/>
      <c r="CKU136" s="17"/>
      <c r="CKV136" s="17"/>
      <c r="CKW136" s="17"/>
      <c r="CKX136" s="17"/>
      <c r="CKY136" s="17"/>
      <c r="CKZ136" s="17"/>
      <c r="CLA136" s="17"/>
      <c r="CLB136" s="17"/>
      <c r="CLC136" s="17"/>
      <c r="CLD136" s="17"/>
      <c r="CLE136" s="17"/>
      <c r="CLF136" s="17"/>
      <c r="CLG136" s="17"/>
      <c r="CLH136" s="17"/>
      <c r="CLI136" s="17"/>
      <c r="CLJ136" s="17"/>
      <c r="CLK136" s="17"/>
      <c r="CLL136" s="17"/>
      <c r="CLM136" s="17"/>
      <c r="CLN136" s="17"/>
      <c r="CLO136" s="17"/>
      <c r="CLP136" s="17"/>
      <c r="CLQ136" s="17"/>
      <c r="CLR136" s="17"/>
      <c r="CLS136" s="17"/>
      <c r="CLT136" s="17"/>
      <c r="CLU136" s="17"/>
      <c r="CLV136" s="17"/>
      <c r="CLW136" s="17"/>
      <c r="CLX136" s="17"/>
      <c r="CLY136" s="17"/>
      <c r="CLZ136" s="17"/>
      <c r="CMA136" s="17"/>
      <c r="CMB136" s="17"/>
      <c r="CMC136" s="17"/>
      <c r="CMD136" s="17"/>
      <c r="CME136" s="17"/>
      <c r="CMF136" s="17"/>
      <c r="CMG136" s="17"/>
      <c r="CMH136" s="17"/>
      <c r="CMI136" s="17"/>
      <c r="CMJ136" s="17"/>
      <c r="CMK136" s="17"/>
      <c r="CML136" s="17"/>
      <c r="CMM136" s="17"/>
      <c r="CMN136" s="17"/>
      <c r="CMO136" s="17"/>
      <c r="CMP136" s="17"/>
      <c r="CMQ136" s="17"/>
      <c r="CMR136" s="17"/>
      <c r="CMS136" s="17"/>
      <c r="CMT136" s="17"/>
      <c r="CMU136" s="17"/>
      <c r="CMV136" s="17"/>
      <c r="CMW136" s="17"/>
      <c r="CMX136" s="17"/>
      <c r="CMY136" s="17"/>
      <c r="CMZ136" s="17"/>
      <c r="CNA136" s="17"/>
      <c r="CNB136" s="17"/>
      <c r="CNC136" s="17"/>
      <c r="CND136" s="17"/>
      <c r="CNE136" s="17"/>
      <c r="CNF136" s="17"/>
      <c r="CNG136" s="17"/>
      <c r="CNH136" s="17"/>
      <c r="CNI136" s="17"/>
      <c r="CNJ136" s="17"/>
      <c r="CNK136" s="17"/>
      <c r="CNL136" s="17"/>
      <c r="CNM136" s="17"/>
      <c r="CNN136" s="17"/>
      <c r="CNO136" s="17"/>
      <c r="CNP136" s="17"/>
      <c r="CNQ136" s="17"/>
      <c r="CNR136" s="17"/>
      <c r="CNS136" s="17"/>
      <c r="CNT136" s="17"/>
      <c r="CNU136" s="17"/>
      <c r="CNV136" s="17"/>
      <c r="CNW136" s="17"/>
      <c r="CNX136" s="17"/>
      <c r="CNY136" s="17"/>
      <c r="CNZ136" s="17"/>
      <c r="COA136" s="17"/>
      <c r="COB136" s="17"/>
      <c r="COC136" s="17"/>
      <c r="COD136" s="17"/>
      <c r="COE136" s="17"/>
      <c r="COF136" s="17"/>
      <c r="COG136" s="17"/>
      <c r="COH136" s="17"/>
      <c r="COI136" s="17"/>
      <c r="COJ136" s="17"/>
      <c r="COK136" s="17"/>
      <c r="COL136" s="17"/>
      <c r="COM136" s="17"/>
      <c r="CON136" s="17"/>
      <c r="COO136" s="17"/>
      <c r="COP136" s="17"/>
      <c r="COQ136" s="17"/>
      <c r="COR136" s="17"/>
      <c r="COS136" s="17"/>
      <c r="COT136" s="17"/>
      <c r="COU136" s="17"/>
      <c r="COV136" s="17"/>
      <c r="COW136" s="17"/>
      <c r="COX136" s="17"/>
      <c r="COY136" s="17"/>
      <c r="COZ136" s="17"/>
      <c r="CPA136" s="17"/>
      <c r="CPB136" s="17"/>
      <c r="CPC136" s="17"/>
      <c r="CPD136" s="17"/>
      <c r="CPE136" s="17"/>
      <c r="CPF136" s="17"/>
      <c r="CPG136" s="17"/>
      <c r="CPH136" s="17"/>
      <c r="CPI136" s="17"/>
      <c r="CPJ136" s="17"/>
      <c r="CPK136" s="17"/>
      <c r="CPL136" s="17"/>
      <c r="CPM136" s="17"/>
      <c r="CPN136" s="17"/>
      <c r="CPO136" s="17"/>
      <c r="CPP136" s="17"/>
      <c r="CPQ136" s="17"/>
      <c r="CPR136" s="17"/>
      <c r="CPS136" s="17"/>
      <c r="CPT136" s="17"/>
      <c r="CPU136" s="17"/>
      <c r="CPV136" s="17"/>
      <c r="CPW136" s="17"/>
      <c r="CPX136" s="17"/>
      <c r="CPY136" s="17"/>
      <c r="CPZ136" s="17"/>
      <c r="CQA136" s="17"/>
      <c r="CQB136" s="17"/>
      <c r="CQC136" s="17"/>
      <c r="CQD136" s="17"/>
      <c r="CQE136" s="17"/>
      <c r="CQF136" s="17"/>
      <c r="CQG136" s="17"/>
      <c r="CQH136" s="17"/>
      <c r="CQI136" s="17"/>
      <c r="CQJ136" s="17"/>
      <c r="CQK136" s="17"/>
      <c r="CQL136" s="17"/>
      <c r="CQM136" s="17"/>
      <c r="CQN136" s="17"/>
      <c r="CQO136" s="17"/>
      <c r="CQP136" s="17"/>
      <c r="CQQ136" s="17"/>
      <c r="CQR136" s="17"/>
      <c r="CQS136" s="17"/>
      <c r="CQT136" s="17"/>
      <c r="CQU136" s="17"/>
      <c r="CQV136" s="17"/>
      <c r="CQW136" s="17"/>
      <c r="CQX136" s="17"/>
      <c r="CQY136" s="17"/>
      <c r="CQZ136" s="17"/>
      <c r="CRA136" s="17"/>
      <c r="CRB136" s="17"/>
      <c r="CRC136" s="17"/>
      <c r="CRD136" s="17"/>
      <c r="CRE136" s="17"/>
      <c r="CRF136" s="17"/>
      <c r="CRG136" s="17"/>
      <c r="CRH136" s="17"/>
      <c r="CRI136" s="17"/>
      <c r="CRJ136" s="17"/>
      <c r="CRK136" s="17"/>
      <c r="CRL136" s="17"/>
      <c r="CRM136" s="17"/>
      <c r="CRN136" s="17"/>
      <c r="CRO136" s="17"/>
      <c r="CRP136" s="17"/>
      <c r="CRQ136" s="17"/>
      <c r="CRR136" s="17"/>
      <c r="CRS136" s="17"/>
      <c r="CRT136" s="17"/>
      <c r="CRU136" s="17"/>
      <c r="CRV136" s="17"/>
      <c r="CRW136" s="17"/>
      <c r="CRX136" s="17"/>
      <c r="CRY136" s="17"/>
      <c r="CRZ136" s="17"/>
      <c r="CSA136" s="17"/>
      <c r="CSB136" s="17"/>
      <c r="CSC136" s="17"/>
      <c r="CSD136" s="17"/>
      <c r="CSE136" s="17"/>
      <c r="CSF136" s="17"/>
      <c r="CSG136" s="17"/>
      <c r="CSH136" s="17"/>
      <c r="CSI136" s="17"/>
      <c r="CSJ136" s="17"/>
      <c r="CSK136" s="17"/>
      <c r="CSL136" s="17"/>
      <c r="CSM136" s="17"/>
      <c r="CSN136" s="17"/>
      <c r="CSO136" s="17"/>
      <c r="CSP136" s="17"/>
      <c r="CSQ136" s="17"/>
      <c r="CSR136" s="17"/>
      <c r="CSS136" s="17"/>
      <c r="CST136" s="17"/>
      <c r="CSU136" s="17"/>
      <c r="CSV136" s="17"/>
      <c r="CSW136" s="17"/>
      <c r="CSX136" s="17"/>
      <c r="CSY136" s="17"/>
      <c r="CSZ136" s="17"/>
      <c r="CTA136" s="17"/>
      <c r="CTB136" s="17"/>
      <c r="CTC136" s="17"/>
      <c r="CTD136" s="17"/>
      <c r="CTE136" s="17"/>
      <c r="CTF136" s="17"/>
      <c r="CTG136" s="17"/>
      <c r="CTH136" s="17"/>
      <c r="CTI136" s="17"/>
      <c r="CTJ136" s="17"/>
      <c r="CTK136" s="17"/>
      <c r="CTL136" s="17"/>
      <c r="CTM136" s="17"/>
      <c r="CTN136" s="17"/>
      <c r="CTO136" s="17"/>
      <c r="CTP136" s="17"/>
      <c r="CTQ136" s="17"/>
      <c r="CTR136" s="17"/>
      <c r="CTS136" s="17"/>
      <c r="CTT136" s="17"/>
      <c r="CTU136" s="17"/>
      <c r="CTV136" s="17"/>
      <c r="CTW136" s="17"/>
      <c r="CTX136" s="17"/>
      <c r="CTY136" s="17"/>
      <c r="CTZ136" s="17"/>
      <c r="CUA136" s="17"/>
      <c r="CUB136" s="17"/>
      <c r="CUC136" s="17"/>
      <c r="CUD136" s="17"/>
      <c r="CUE136" s="17"/>
      <c r="CUF136" s="17"/>
      <c r="CUG136" s="17"/>
      <c r="CUH136" s="17"/>
      <c r="CUI136" s="17"/>
      <c r="CUJ136" s="17"/>
      <c r="CUK136" s="17"/>
      <c r="CUL136" s="17"/>
      <c r="CUM136" s="17"/>
      <c r="CUN136" s="17"/>
      <c r="CUO136" s="17"/>
      <c r="CUP136" s="17"/>
      <c r="CUQ136" s="17"/>
      <c r="CUR136" s="17"/>
      <c r="CUS136" s="17"/>
      <c r="CUT136" s="17"/>
      <c r="CUU136" s="17"/>
      <c r="CUV136" s="17"/>
      <c r="CUW136" s="17"/>
      <c r="CUX136" s="17"/>
      <c r="CUY136" s="17"/>
      <c r="CUZ136" s="17"/>
      <c r="CVA136" s="17"/>
      <c r="CVB136" s="17"/>
      <c r="CVC136" s="17"/>
      <c r="CVD136" s="17"/>
      <c r="CVE136" s="17"/>
      <c r="CVF136" s="17"/>
      <c r="CVG136" s="17"/>
      <c r="CVH136" s="17"/>
      <c r="CVI136" s="17"/>
      <c r="CVJ136" s="17"/>
      <c r="CVK136" s="17"/>
      <c r="CVL136" s="17"/>
      <c r="CVM136" s="17"/>
      <c r="CVN136" s="17"/>
      <c r="CVO136" s="17"/>
      <c r="CVP136" s="17"/>
      <c r="CVQ136" s="17"/>
      <c r="CVR136" s="17"/>
      <c r="CVS136" s="17"/>
      <c r="CVT136" s="17"/>
      <c r="CVU136" s="17"/>
      <c r="CVV136" s="17"/>
      <c r="CVW136" s="17"/>
      <c r="CVX136" s="17"/>
      <c r="CVY136" s="17"/>
      <c r="CVZ136" s="17"/>
      <c r="CWA136" s="17"/>
      <c r="CWB136" s="17"/>
      <c r="CWC136" s="17"/>
      <c r="CWD136" s="17"/>
      <c r="CWE136" s="17"/>
      <c r="CWF136" s="17"/>
      <c r="CWG136" s="17"/>
      <c r="CWH136" s="17"/>
      <c r="CWI136" s="17"/>
      <c r="CWJ136" s="17"/>
      <c r="CWK136" s="17"/>
      <c r="CWL136" s="17"/>
      <c r="CWM136" s="17"/>
      <c r="CWN136" s="17"/>
      <c r="CWO136" s="17"/>
      <c r="CWP136" s="17"/>
      <c r="CWQ136" s="17"/>
      <c r="CWR136" s="17"/>
      <c r="CWS136" s="17"/>
      <c r="CWT136" s="17"/>
      <c r="CWU136" s="17"/>
      <c r="CWV136" s="17"/>
      <c r="CWW136" s="17"/>
      <c r="CWX136" s="17"/>
      <c r="CWY136" s="17"/>
      <c r="CWZ136" s="17"/>
      <c r="CXA136" s="17"/>
      <c r="CXB136" s="17"/>
      <c r="CXC136" s="17"/>
      <c r="CXD136" s="17"/>
      <c r="CXE136" s="17"/>
      <c r="CXF136" s="17"/>
      <c r="CXG136" s="17"/>
      <c r="CXH136" s="17"/>
      <c r="CXI136" s="17"/>
      <c r="CXJ136" s="17"/>
      <c r="CXK136" s="17"/>
      <c r="CXL136" s="17"/>
      <c r="CXM136" s="17"/>
      <c r="CXN136" s="17"/>
      <c r="CXO136" s="17"/>
      <c r="CXP136" s="17"/>
      <c r="CXQ136" s="17"/>
      <c r="CXR136" s="17"/>
      <c r="CXS136" s="17"/>
      <c r="CXT136" s="17"/>
      <c r="CXU136" s="17"/>
      <c r="CXV136" s="17"/>
      <c r="CXW136" s="17"/>
      <c r="CXX136" s="17"/>
      <c r="CXY136" s="17"/>
      <c r="CXZ136" s="17"/>
      <c r="CYA136" s="17"/>
      <c r="CYB136" s="17"/>
      <c r="CYC136" s="17"/>
      <c r="CYD136" s="17"/>
      <c r="CYE136" s="17"/>
      <c r="CYF136" s="17"/>
      <c r="CYG136" s="17"/>
      <c r="CYH136" s="17"/>
      <c r="CYI136" s="17"/>
      <c r="CYJ136" s="17"/>
      <c r="CYK136" s="17"/>
      <c r="CYL136" s="17"/>
      <c r="CYM136" s="17"/>
      <c r="CYN136" s="17"/>
      <c r="CYO136" s="17"/>
      <c r="CYP136" s="17"/>
      <c r="CYQ136" s="17"/>
      <c r="CYR136" s="17"/>
      <c r="CYS136" s="17"/>
      <c r="CYT136" s="17"/>
      <c r="CYU136" s="17"/>
      <c r="CYV136" s="17"/>
      <c r="CYW136" s="17"/>
      <c r="CYX136" s="17"/>
      <c r="CYY136" s="17"/>
      <c r="CYZ136" s="17"/>
      <c r="CZA136" s="17"/>
      <c r="CZB136" s="17"/>
      <c r="CZC136" s="17"/>
      <c r="CZD136" s="17"/>
      <c r="CZE136" s="17"/>
      <c r="CZF136" s="17"/>
      <c r="CZG136" s="17"/>
      <c r="CZH136" s="17"/>
      <c r="CZI136" s="17"/>
      <c r="CZJ136" s="17"/>
      <c r="CZK136" s="17"/>
      <c r="CZL136" s="17"/>
      <c r="CZM136" s="17"/>
      <c r="CZN136" s="17"/>
      <c r="CZO136" s="17"/>
      <c r="CZP136" s="17"/>
      <c r="CZQ136" s="17"/>
      <c r="CZR136" s="17"/>
      <c r="CZS136" s="17"/>
      <c r="CZT136" s="17"/>
      <c r="CZU136" s="17"/>
      <c r="CZV136" s="17"/>
      <c r="CZW136" s="17"/>
      <c r="CZX136" s="17"/>
      <c r="CZY136" s="17"/>
      <c r="CZZ136" s="17"/>
      <c r="DAA136" s="17"/>
      <c r="DAB136" s="17"/>
      <c r="DAC136" s="17"/>
      <c r="DAD136" s="17"/>
      <c r="DAE136" s="17"/>
      <c r="DAF136" s="17"/>
      <c r="DAG136" s="17"/>
      <c r="DAH136" s="17"/>
      <c r="DAI136" s="17"/>
      <c r="DAJ136" s="17"/>
      <c r="DAK136" s="17"/>
      <c r="DAL136" s="17"/>
      <c r="DAM136" s="17"/>
      <c r="DAN136" s="17"/>
      <c r="DAO136" s="17"/>
      <c r="DAP136" s="17"/>
      <c r="DAQ136" s="17"/>
      <c r="DAR136" s="17"/>
      <c r="DAS136" s="17"/>
      <c r="DAT136" s="17"/>
      <c r="DAU136" s="17"/>
      <c r="DAV136" s="17"/>
      <c r="DAW136" s="17"/>
      <c r="DAX136" s="17"/>
      <c r="DAY136" s="17"/>
      <c r="DAZ136" s="17"/>
      <c r="DBA136" s="17"/>
      <c r="DBB136" s="17"/>
      <c r="DBC136" s="17"/>
      <c r="DBD136" s="17"/>
      <c r="DBE136" s="17"/>
      <c r="DBF136" s="17"/>
      <c r="DBG136" s="17"/>
      <c r="DBH136" s="17"/>
      <c r="DBI136" s="17"/>
      <c r="DBJ136" s="17"/>
      <c r="DBK136" s="17"/>
      <c r="DBL136" s="17"/>
      <c r="DBM136" s="17"/>
      <c r="DBN136" s="17"/>
      <c r="DBO136" s="17"/>
      <c r="DBP136" s="17"/>
      <c r="DBQ136" s="17"/>
      <c r="DBR136" s="17"/>
      <c r="DBS136" s="17"/>
      <c r="DBT136" s="17"/>
      <c r="DBU136" s="17"/>
      <c r="DBV136" s="17"/>
      <c r="DBW136" s="17"/>
      <c r="DBX136" s="17"/>
      <c r="DBY136" s="17"/>
      <c r="DBZ136" s="17"/>
      <c r="DCA136" s="17"/>
      <c r="DCB136" s="17"/>
      <c r="DCC136" s="17"/>
      <c r="DCD136" s="17"/>
      <c r="DCE136" s="17"/>
      <c r="DCF136" s="17"/>
      <c r="DCG136" s="17"/>
      <c r="DCH136" s="17"/>
      <c r="DCI136" s="17"/>
      <c r="DCJ136" s="17"/>
      <c r="DCK136" s="17"/>
      <c r="DCL136" s="17"/>
      <c r="DCM136" s="17"/>
      <c r="DCN136" s="17"/>
      <c r="DCO136" s="17"/>
      <c r="DCP136" s="17"/>
      <c r="DCQ136" s="17"/>
      <c r="DCR136" s="17"/>
      <c r="DCS136" s="17"/>
      <c r="DCT136" s="17"/>
      <c r="DCU136" s="17"/>
      <c r="DCV136" s="17"/>
      <c r="DCW136" s="17"/>
      <c r="DCX136" s="17"/>
      <c r="DCY136" s="17"/>
      <c r="DCZ136" s="17"/>
      <c r="DDA136" s="17"/>
      <c r="DDB136" s="17"/>
      <c r="DDC136" s="17"/>
      <c r="DDD136" s="17"/>
      <c r="DDE136" s="17"/>
      <c r="DDF136" s="17"/>
      <c r="DDG136" s="17"/>
      <c r="DDH136" s="17"/>
      <c r="DDI136" s="17"/>
      <c r="DDJ136" s="17"/>
      <c r="DDK136" s="17"/>
      <c r="DDL136" s="17"/>
      <c r="DDM136" s="17"/>
      <c r="DDN136" s="17"/>
      <c r="DDO136" s="17"/>
      <c r="DDP136" s="17"/>
      <c r="DDQ136" s="17"/>
      <c r="DDR136" s="17"/>
      <c r="DDS136" s="17"/>
      <c r="DDT136" s="17"/>
      <c r="DDU136" s="17"/>
      <c r="DDV136" s="17"/>
      <c r="DDW136" s="17"/>
      <c r="DDX136" s="17"/>
      <c r="DDY136" s="17"/>
      <c r="DDZ136" s="17"/>
      <c r="DEA136" s="17"/>
      <c r="DEB136" s="17"/>
      <c r="DEC136" s="17"/>
      <c r="DED136" s="17"/>
      <c r="DEE136" s="17"/>
      <c r="DEF136" s="17"/>
      <c r="DEG136" s="17"/>
      <c r="DEH136" s="17"/>
      <c r="DEI136" s="17"/>
      <c r="DEJ136" s="17"/>
      <c r="DEK136" s="17"/>
      <c r="DEL136" s="17"/>
      <c r="DEM136" s="17"/>
      <c r="DEN136" s="17"/>
      <c r="DEO136" s="17"/>
      <c r="DEP136" s="17"/>
      <c r="DEQ136" s="17"/>
      <c r="DER136" s="17"/>
      <c r="DES136" s="17"/>
      <c r="DET136" s="17"/>
      <c r="DEU136" s="17"/>
      <c r="DEV136" s="17"/>
      <c r="DEW136" s="17"/>
      <c r="DEX136" s="17"/>
      <c r="DEY136" s="17"/>
      <c r="DEZ136" s="17"/>
      <c r="DFA136" s="17"/>
      <c r="DFB136" s="17"/>
      <c r="DFC136" s="17"/>
      <c r="DFD136" s="17"/>
      <c r="DFE136" s="17"/>
      <c r="DFF136" s="17"/>
      <c r="DFG136" s="17"/>
      <c r="DFH136" s="17"/>
      <c r="DFI136" s="17"/>
      <c r="DFJ136" s="17"/>
      <c r="DFK136" s="17"/>
      <c r="DFL136" s="17"/>
      <c r="DFM136" s="17"/>
      <c r="DFN136" s="17"/>
      <c r="DFO136" s="17"/>
      <c r="DFP136" s="17"/>
      <c r="DFQ136" s="17"/>
      <c r="DFR136" s="17"/>
      <c r="DFS136" s="17"/>
      <c r="DFT136" s="17"/>
      <c r="DFU136" s="17"/>
      <c r="DFV136" s="17"/>
      <c r="DFW136" s="17"/>
      <c r="DFX136" s="17"/>
      <c r="DFY136" s="17"/>
      <c r="DFZ136" s="17"/>
      <c r="DGA136" s="17"/>
      <c r="DGB136" s="17"/>
      <c r="DGC136" s="17"/>
      <c r="DGD136" s="17"/>
      <c r="DGE136" s="17"/>
      <c r="DGF136" s="17"/>
      <c r="DGG136" s="17"/>
      <c r="DGH136" s="17"/>
      <c r="DGI136" s="17"/>
      <c r="DGJ136" s="17"/>
      <c r="DGK136" s="17"/>
      <c r="DGL136" s="17"/>
      <c r="DGM136" s="17"/>
      <c r="DGN136" s="17"/>
      <c r="DGO136" s="17"/>
      <c r="DGP136" s="17"/>
      <c r="DGQ136" s="17"/>
      <c r="DGR136" s="17"/>
      <c r="DGS136" s="17"/>
      <c r="DGT136" s="17"/>
      <c r="DGU136" s="17"/>
      <c r="DGV136" s="17"/>
      <c r="DGW136" s="17"/>
      <c r="DGX136" s="17"/>
      <c r="DGY136" s="17"/>
      <c r="DGZ136" s="17"/>
      <c r="DHA136" s="17"/>
      <c r="DHB136" s="17"/>
      <c r="DHC136" s="17"/>
      <c r="DHD136" s="17"/>
      <c r="DHE136" s="17"/>
      <c r="DHF136" s="17"/>
      <c r="DHG136" s="17"/>
      <c r="DHH136" s="17"/>
      <c r="DHI136" s="17"/>
      <c r="DHJ136" s="17"/>
      <c r="DHK136" s="17"/>
      <c r="DHL136" s="17"/>
      <c r="DHM136" s="17"/>
      <c r="DHN136" s="17"/>
      <c r="DHO136" s="17"/>
      <c r="DHP136" s="17"/>
      <c r="DHQ136" s="17"/>
      <c r="DHR136" s="17"/>
      <c r="DHS136" s="17"/>
      <c r="DHT136" s="17"/>
      <c r="DHU136" s="17"/>
      <c r="DHV136" s="17"/>
      <c r="DHW136" s="17"/>
      <c r="DHX136" s="17"/>
      <c r="DHY136" s="17"/>
      <c r="DHZ136" s="17"/>
      <c r="DIA136" s="17"/>
      <c r="DIB136" s="17"/>
      <c r="DIC136" s="17"/>
      <c r="DID136" s="17"/>
      <c r="DIE136" s="17"/>
      <c r="DIF136" s="17"/>
      <c r="DIG136" s="17"/>
      <c r="DIH136" s="17"/>
      <c r="DII136" s="17"/>
      <c r="DIJ136" s="17"/>
      <c r="DIK136" s="17"/>
      <c r="DIL136" s="17"/>
      <c r="DIM136" s="17"/>
      <c r="DIN136" s="17"/>
      <c r="DIO136" s="17"/>
      <c r="DIP136" s="17"/>
      <c r="DIQ136" s="17"/>
      <c r="DIR136" s="17"/>
      <c r="DIS136" s="17"/>
      <c r="DIT136" s="17"/>
      <c r="DIU136" s="17"/>
      <c r="DIV136" s="17"/>
      <c r="DIW136" s="17"/>
      <c r="DIX136" s="17"/>
      <c r="DIY136" s="17"/>
      <c r="DIZ136" s="17"/>
      <c r="DJA136" s="17"/>
      <c r="DJB136" s="17"/>
      <c r="DJC136" s="17"/>
      <c r="DJD136" s="17"/>
      <c r="DJE136" s="17"/>
      <c r="DJF136" s="17"/>
      <c r="DJG136" s="17"/>
      <c r="DJH136" s="17"/>
      <c r="DJI136" s="17"/>
      <c r="DJJ136" s="17"/>
      <c r="DJK136" s="17"/>
      <c r="DJL136" s="17"/>
      <c r="DJM136" s="17"/>
      <c r="DJN136" s="17"/>
      <c r="DJO136" s="17"/>
      <c r="DJP136" s="17"/>
      <c r="DJQ136" s="17"/>
      <c r="DJR136" s="17"/>
      <c r="DJS136" s="17"/>
      <c r="DJT136" s="17"/>
      <c r="DJU136" s="17"/>
      <c r="DJV136" s="17"/>
      <c r="DJW136" s="17"/>
      <c r="DJX136" s="17"/>
      <c r="DJY136" s="17"/>
      <c r="DJZ136" s="17"/>
      <c r="DKA136" s="17"/>
      <c r="DKB136" s="17"/>
      <c r="DKC136" s="17"/>
      <c r="DKD136" s="17"/>
      <c r="DKE136" s="17"/>
      <c r="DKF136" s="17"/>
      <c r="DKG136" s="17"/>
      <c r="DKH136" s="17"/>
      <c r="DKI136" s="17"/>
      <c r="DKJ136" s="17"/>
      <c r="DKK136" s="17"/>
      <c r="DKL136" s="17"/>
      <c r="DKM136" s="17"/>
      <c r="DKN136" s="17"/>
      <c r="DKO136" s="17"/>
      <c r="DKP136" s="17"/>
      <c r="DKQ136" s="17"/>
      <c r="DKR136" s="17"/>
      <c r="DKS136" s="17"/>
      <c r="DKT136" s="17"/>
      <c r="DKU136" s="17"/>
      <c r="DKV136" s="17"/>
      <c r="DKW136" s="17"/>
      <c r="DKX136" s="17"/>
      <c r="DKY136" s="17"/>
      <c r="DKZ136" s="17"/>
      <c r="DLA136" s="17"/>
      <c r="DLB136" s="17"/>
      <c r="DLC136" s="17"/>
      <c r="DLD136" s="17"/>
      <c r="DLE136" s="17"/>
      <c r="DLF136" s="17"/>
      <c r="DLG136" s="17"/>
      <c r="DLH136" s="17"/>
      <c r="DLI136" s="17"/>
      <c r="DLJ136" s="17"/>
      <c r="DLK136" s="17"/>
      <c r="DLL136" s="17"/>
      <c r="DLM136" s="17"/>
      <c r="DLN136" s="17"/>
      <c r="DLO136" s="17"/>
      <c r="DLP136" s="17"/>
      <c r="DLQ136" s="17"/>
      <c r="DLR136" s="17"/>
      <c r="DLS136" s="17"/>
      <c r="DLT136" s="17"/>
      <c r="DLU136" s="17"/>
      <c r="DLV136" s="17"/>
      <c r="DLW136" s="17"/>
      <c r="DLX136" s="17"/>
      <c r="DLY136" s="17"/>
      <c r="DLZ136" s="17"/>
      <c r="DMA136" s="17"/>
      <c r="DMB136" s="17"/>
      <c r="DMC136" s="17"/>
      <c r="DMD136" s="17"/>
      <c r="DME136" s="17"/>
      <c r="DMF136" s="17"/>
      <c r="DMG136" s="17"/>
      <c r="DMH136" s="17"/>
      <c r="DMI136" s="17"/>
      <c r="DMJ136" s="17"/>
      <c r="DMK136" s="17"/>
      <c r="DML136" s="17"/>
      <c r="DMM136" s="17"/>
      <c r="DMN136" s="17"/>
      <c r="DMO136" s="17"/>
      <c r="DMP136" s="17"/>
      <c r="DMQ136" s="17"/>
      <c r="DMR136" s="17"/>
      <c r="DMS136" s="17"/>
      <c r="DMT136" s="17"/>
      <c r="DMU136" s="17"/>
      <c r="DMV136" s="17"/>
      <c r="DMW136" s="17"/>
      <c r="DMX136" s="17"/>
      <c r="DMY136" s="17"/>
      <c r="DMZ136" s="17"/>
      <c r="DNA136" s="17"/>
      <c r="DNB136" s="17"/>
      <c r="DNC136" s="17"/>
      <c r="DND136" s="17"/>
      <c r="DNE136" s="17"/>
      <c r="DNF136" s="17"/>
      <c r="DNG136" s="17"/>
      <c r="DNH136" s="17"/>
      <c r="DNI136" s="17"/>
      <c r="DNJ136" s="17"/>
      <c r="DNK136" s="17"/>
      <c r="DNL136" s="17"/>
      <c r="DNM136" s="17"/>
      <c r="DNN136" s="17"/>
      <c r="DNO136" s="17"/>
      <c r="DNP136" s="17"/>
      <c r="DNQ136" s="17"/>
      <c r="DNR136" s="17"/>
      <c r="DNS136" s="17"/>
      <c r="DNT136" s="17"/>
      <c r="DNU136" s="17"/>
      <c r="DNV136" s="17"/>
      <c r="DNW136" s="17"/>
      <c r="DNX136" s="17"/>
      <c r="DNY136" s="17"/>
      <c r="DNZ136" s="17"/>
      <c r="DOA136" s="17"/>
      <c r="DOB136" s="17"/>
      <c r="DOC136" s="17"/>
      <c r="DOD136" s="17"/>
      <c r="DOE136" s="17"/>
      <c r="DOF136" s="17"/>
      <c r="DOG136" s="17"/>
      <c r="DOH136" s="17"/>
      <c r="DOI136" s="17"/>
      <c r="DOJ136" s="17"/>
      <c r="DOK136" s="17"/>
      <c r="DOL136" s="17"/>
      <c r="DOM136" s="17"/>
      <c r="DON136" s="17"/>
      <c r="DOO136" s="17"/>
      <c r="DOP136" s="17"/>
      <c r="DOQ136" s="17"/>
      <c r="DOR136" s="17"/>
      <c r="DOS136" s="17"/>
      <c r="DOT136" s="17"/>
      <c r="DOU136" s="17"/>
      <c r="DOV136" s="17"/>
      <c r="DOW136" s="17"/>
      <c r="DOX136" s="17"/>
      <c r="DOY136" s="17"/>
      <c r="DOZ136" s="17"/>
      <c r="DPA136" s="17"/>
      <c r="DPB136" s="17"/>
      <c r="DPC136" s="17"/>
      <c r="DPD136" s="17"/>
      <c r="DPE136" s="17"/>
      <c r="DPF136" s="17"/>
      <c r="DPG136" s="17"/>
      <c r="DPH136" s="17"/>
      <c r="DPI136" s="17"/>
      <c r="DPJ136" s="17"/>
      <c r="DPK136" s="17"/>
      <c r="DPL136" s="17"/>
      <c r="DPM136" s="17"/>
      <c r="DPN136" s="17"/>
      <c r="DPO136" s="17"/>
      <c r="DPP136" s="17"/>
      <c r="DPQ136" s="17"/>
      <c r="DPR136" s="17"/>
      <c r="DPS136" s="17"/>
      <c r="DPT136" s="17"/>
      <c r="DPU136" s="17"/>
      <c r="DPV136" s="17"/>
      <c r="DPW136" s="17"/>
      <c r="DPX136" s="17"/>
      <c r="DPY136" s="17"/>
      <c r="DPZ136" s="17"/>
      <c r="DQA136" s="17"/>
      <c r="DQB136" s="17"/>
      <c r="DQC136" s="17"/>
      <c r="DQD136" s="17"/>
      <c r="DQE136" s="17"/>
      <c r="DQF136" s="17"/>
      <c r="DQG136" s="17"/>
      <c r="DQH136" s="17"/>
      <c r="DQI136" s="17"/>
      <c r="DQJ136" s="17"/>
      <c r="DQK136" s="17"/>
      <c r="DQL136" s="17"/>
      <c r="DQM136" s="17"/>
      <c r="DQN136" s="17"/>
      <c r="DQO136" s="17"/>
      <c r="DQP136" s="17"/>
      <c r="DQQ136" s="17"/>
      <c r="DQR136" s="17"/>
      <c r="DQS136" s="17"/>
      <c r="DQT136" s="17"/>
      <c r="DQU136" s="17"/>
      <c r="DQV136" s="17"/>
      <c r="DQW136" s="17"/>
      <c r="DQX136" s="17"/>
      <c r="DQY136" s="17"/>
      <c r="DQZ136" s="17"/>
      <c r="DRA136" s="17"/>
      <c r="DRB136" s="17"/>
      <c r="DRC136" s="17"/>
      <c r="DRD136" s="17"/>
      <c r="DRE136" s="17"/>
      <c r="DRF136" s="17"/>
      <c r="DRG136" s="17"/>
      <c r="DRH136" s="17"/>
      <c r="DRI136" s="17"/>
      <c r="DRJ136" s="17"/>
      <c r="DRK136" s="17"/>
      <c r="DRL136" s="17"/>
      <c r="DRM136" s="17"/>
      <c r="DRN136" s="17"/>
      <c r="DRO136" s="17"/>
      <c r="DRP136" s="17"/>
      <c r="DRQ136" s="17"/>
      <c r="DRR136" s="17"/>
      <c r="DRS136" s="17"/>
      <c r="DRT136" s="17"/>
      <c r="DRU136" s="17"/>
      <c r="DRV136" s="17"/>
      <c r="DRW136" s="17"/>
      <c r="DRX136" s="17"/>
      <c r="DRY136" s="17"/>
      <c r="DRZ136" s="17"/>
      <c r="DSA136" s="17"/>
      <c r="DSB136" s="17"/>
      <c r="DSC136" s="17"/>
      <c r="DSD136" s="17"/>
      <c r="DSE136" s="17"/>
      <c r="DSF136" s="17"/>
      <c r="DSG136" s="17"/>
      <c r="DSH136" s="17"/>
      <c r="DSI136" s="17"/>
      <c r="DSJ136" s="17"/>
      <c r="DSK136" s="17"/>
      <c r="DSL136" s="17"/>
      <c r="DSM136" s="17"/>
      <c r="DSN136" s="17"/>
      <c r="DSO136" s="17"/>
      <c r="DSP136" s="17"/>
      <c r="DSQ136" s="17"/>
      <c r="DSR136" s="17"/>
      <c r="DSS136" s="17"/>
      <c r="DST136" s="17"/>
      <c r="DSU136" s="17"/>
      <c r="DSV136" s="17"/>
      <c r="DSW136" s="17"/>
      <c r="DSX136" s="17"/>
      <c r="DSY136" s="17"/>
      <c r="DSZ136" s="17"/>
      <c r="DTA136" s="17"/>
      <c r="DTB136" s="17"/>
      <c r="DTC136" s="17"/>
      <c r="DTD136" s="17"/>
      <c r="DTE136" s="17"/>
      <c r="DTF136" s="17"/>
      <c r="DTG136" s="17"/>
      <c r="DTH136" s="17"/>
      <c r="DTI136" s="17"/>
      <c r="DTJ136" s="17"/>
      <c r="DTK136" s="17"/>
      <c r="DTL136" s="17"/>
      <c r="DTM136" s="17"/>
      <c r="DTN136" s="17"/>
      <c r="DTO136" s="17"/>
      <c r="DTP136" s="17"/>
      <c r="DTQ136" s="17"/>
      <c r="DTR136" s="17"/>
      <c r="DTS136" s="17"/>
      <c r="DTT136" s="17"/>
      <c r="DTU136" s="17"/>
      <c r="DTV136" s="17"/>
      <c r="DTW136" s="17"/>
      <c r="DTX136" s="17"/>
      <c r="DTY136" s="17"/>
      <c r="DTZ136" s="17"/>
      <c r="DUA136" s="17"/>
      <c r="DUB136" s="17"/>
      <c r="DUC136" s="17"/>
      <c r="DUD136" s="17"/>
      <c r="DUE136" s="17"/>
      <c r="DUF136" s="17"/>
      <c r="DUG136" s="17"/>
      <c r="DUH136" s="17"/>
      <c r="DUI136" s="17"/>
      <c r="DUJ136" s="17"/>
      <c r="DUK136" s="17"/>
      <c r="DUL136" s="17"/>
      <c r="DUM136" s="17"/>
      <c r="DUN136" s="17"/>
      <c r="DUO136" s="17"/>
      <c r="DUP136" s="17"/>
      <c r="DUQ136" s="17"/>
      <c r="DUR136" s="17"/>
      <c r="DUS136" s="17"/>
      <c r="DUT136" s="17"/>
      <c r="DUU136" s="17"/>
      <c r="DUV136" s="17"/>
      <c r="DUW136" s="17"/>
      <c r="DUX136" s="17"/>
      <c r="DUY136" s="17"/>
      <c r="DUZ136" s="17"/>
      <c r="DVA136" s="17"/>
      <c r="DVB136" s="17"/>
      <c r="DVC136" s="17"/>
      <c r="DVD136" s="17"/>
      <c r="DVE136" s="17"/>
      <c r="DVF136" s="17"/>
      <c r="DVG136" s="17"/>
      <c r="DVH136" s="17"/>
      <c r="DVI136" s="17"/>
      <c r="DVJ136" s="17"/>
      <c r="DVK136" s="17"/>
      <c r="DVL136" s="17"/>
      <c r="DVM136" s="17"/>
      <c r="DVN136" s="17"/>
      <c r="DVO136" s="17"/>
      <c r="DVP136" s="17"/>
      <c r="DVQ136" s="17"/>
      <c r="DVR136" s="17"/>
      <c r="DVS136" s="17"/>
      <c r="DVT136" s="17"/>
      <c r="DVU136" s="17"/>
      <c r="DVV136" s="17"/>
      <c r="DVW136" s="17"/>
      <c r="DVX136" s="17"/>
      <c r="DVY136" s="17"/>
      <c r="DVZ136" s="17"/>
      <c r="DWA136" s="17"/>
      <c r="DWB136" s="17"/>
      <c r="DWC136" s="17"/>
      <c r="DWD136" s="17"/>
      <c r="DWE136" s="17"/>
      <c r="DWF136" s="17"/>
      <c r="DWG136" s="17"/>
      <c r="DWH136" s="17"/>
      <c r="DWI136" s="17"/>
      <c r="DWJ136" s="17"/>
      <c r="DWK136" s="17"/>
      <c r="DWL136" s="17"/>
      <c r="DWM136" s="17"/>
      <c r="DWN136" s="17"/>
      <c r="DWO136" s="17"/>
      <c r="DWP136" s="17"/>
      <c r="DWQ136" s="17"/>
      <c r="DWR136" s="17"/>
      <c r="DWS136" s="17"/>
      <c r="DWT136" s="17"/>
      <c r="DWU136" s="17"/>
      <c r="DWV136" s="17"/>
      <c r="DWW136" s="17"/>
      <c r="DWX136" s="17"/>
      <c r="DWY136" s="17"/>
      <c r="DWZ136" s="17"/>
      <c r="DXA136" s="17"/>
      <c r="DXB136" s="17"/>
      <c r="DXC136" s="17"/>
      <c r="DXD136" s="17"/>
      <c r="DXE136" s="17"/>
      <c r="DXF136" s="17"/>
      <c r="DXG136" s="17"/>
      <c r="DXH136" s="17"/>
      <c r="DXI136" s="17"/>
      <c r="DXJ136" s="17"/>
      <c r="DXK136" s="17"/>
      <c r="DXL136" s="17"/>
      <c r="DXM136" s="17"/>
      <c r="DXN136" s="17"/>
      <c r="DXO136" s="17"/>
      <c r="DXP136" s="17"/>
      <c r="DXQ136" s="17"/>
      <c r="DXR136" s="17"/>
      <c r="DXS136" s="17"/>
      <c r="DXT136" s="17"/>
      <c r="DXU136" s="17"/>
      <c r="DXV136" s="17"/>
      <c r="DXW136" s="17"/>
      <c r="DXX136" s="17"/>
      <c r="DXY136" s="17"/>
      <c r="DXZ136" s="17"/>
      <c r="DYA136" s="17"/>
      <c r="DYB136" s="17"/>
      <c r="DYC136" s="17"/>
      <c r="DYD136" s="17"/>
      <c r="DYE136" s="17"/>
      <c r="DYF136" s="17"/>
      <c r="DYG136" s="17"/>
      <c r="DYH136" s="17"/>
      <c r="DYI136" s="17"/>
      <c r="DYJ136" s="17"/>
      <c r="DYK136" s="17"/>
      <c r="DYL136" s="17"/>
      <c r="DYM136" s="17"/>
      <c r="DYN136" s="17"/>
      <c r="DYO136" s="17"/>
      <c r="DYP136" s="17"/>
      <c r="DYQ136" s="17"/>
      <c r="DYR136" s="17"/>
      <c r="DYS136" s="17"/>
      <c r="DYT136" s="17"/>
      <c r="DYU136" s="17"/>
      <c r="DYV136" s="17"/>
      <c r="DYW136" s="17"/>
      <c r="DYX136" s="17"/>
      <c r="DYY136" s="17"/>
      <c r="DYZ136" s="17"/>
      <c r="DZA136" s="17"/>
      <c r="DZB136" s="17"/>
      <c r="DZC136" s="17"/>
      <c r="DZD136" s="17"/>
      <c r="DZE136" s="17"/>
      <c r="DZF136" s="17"/>
      <c r="DZG136" s="17"/>
      <c r="DZH136" s="17"/>
      <c r="DZI136" s="17"/>
      <c r="DZJ136" s="17"/>
      <c r="DZK136" s="17"/>
      <c r="DZL136" s="17"/>
      <c r="DZM136" s="17"/>
      <c r="DZN136" s="17"/>
      <c r="DZO136" s="17"/>
      <c r="DZP136" s="17"/>
      <c r="DZQ136" s="17"/>
      <c r="DZR136" s="17"/>
      <c r="DZS136" s="17"/>
      <c r="DZT136" s="17"/>
      <c r="DZU136" s="17"/>
      <c r="DZV136" s="17"/>
      <c r="DZW136" s="17"/>
      <c r="DZX136" s="17"/>
      <c r="DZY136" s="17"/>
      <c r="DZZ136" s="17"/>
      <c r="EAA136" s="17"/>
      <c r="EAB136" s="17"/>
      <c r="EAC136" s="17"/>
      <c r="EAD136" s="17"/>
      <c r="EAE136" s="17"/>
      <c r="EAF136" s="17"/>
      <c r="EAG136" s="17"/>
      <c r="EAH136" s="17"/>
      <c r="EAI136" s="17"/>
      <c r="EAJ136" s="17"/>
      <c r="EAK136" s="17"/>
      <c r="EAL136" s="17"/>
      <c r="EAM136" s="17"/>
      <c r="EAN136" s="17"/>
      <c r="EAO136" s="17"/>
      <c r="EAP136" s="17"/>
      <c r="EAQ136" s="17"/>
      <c r="EAR136" s="17"/>
      <c r="EAS136" s="17"/>
      <c r="EAT136" s="17"/>
      <c r="EAU136" s="17"/>
      <c r="EAV136" s="17"/>
      <c r="EAW136" s="17"/>
      <c r="EAX136" s="17"/>
      <c r="EAY136" s="17"/>
      <c r="EAZ136" s="17"/>
      <c r="EBA136" s="17"/>
      <c r="EBB136" s="17"/>
      <c r="EBC136" s="17"/>
      <c r="EBD136" s="17"/>
      <c r="EBE136" s="17"/>
      <c r="EBF136" s="17"/>
      <c r="EBG136" s="17"/>
      <c r="EBH136" s="17"/>
      <c r="EBI136" s="17"/>
      <c r="EBJ136" s="17"/>
      <c r="EBK136" s="17"/>
      <c r="EBL136" s="17"/>
      <c r="EBM136" s="17"/>
      <c r="EBN136" s="17"/>
      <c r="EBO136" s="17"/>
      <c r="EBP136" s="17"/>
      <c r="EBQ136" s="17"/>
      <c r="EBR136" s="17"/>
      <c r="EBS136" s="17"/>
      <c r="EBT136" s="17"/>
      <c r="EBU136" s="17"/>
      <c r="EBV136" s="17"/>
      <c r="EBW136" s="17"/>
      <c r="EBX136" s="17"/>
      <c r="EBY136" s="17"/>
      <c r="EBZ136" s="17"/>
      <c r="ECA136" s="17"/>
      <c r="ECB136" s="17"/>
      <c r="ECC136" s="17"/>
      <c r="ECD136" s="17"/>
      <c r="ECE136" s="17"/>
      <c r="ECF136" s="17"/>
      <c r="ECG136" s="17"/>
      <c r="ECH136" s="17"/>
      <c r="ECI136" s="17"/>
      <c r="ECJ136" s="17"/>
      <c r="ECK136" s="17"/>
      <c r="ECL136" s="17"/>
      <c r="ECM136" s="17"/>
      <c r="ECN136" s="17"/>
      <c r="ECO136" s="17"/>
      <c r="ECP136" s="17"/>
      <c r="ECQ136" s="17"/>
      <c r="ECR136" s="17"/>
      <c r="ECS136" s="17"/>
      <c r="ECT136" s="17"/>
      <c r="ECU136" s="17"/>
      <c r="ECV136" s="17"/>
      <c r="ECW136" s="17"/>
      <c r="ECX136" s="17"/>
      <c r="ECY136" s="17"/>
      <c r="ECZ136" s="17"/>
      <c r="EDA136" s="17"/>
      <c r="EDB136" s="17"/>
      <c r="EDC136" s="17"/>
      <c r="EDD136" s="17"/>
      <c r="EDE136" s="17"/>
      <c r="EDF136" s="17"/>
      <c r="EDG136" s="17"/>
      <c r="EDH136" s="17"/>
      <c r="EDI136" s="17"/>
      <c r="EDJ136" s="17"/>
      <c r="EDK136" s="17"/>
      <c r="EDL136" s="17"/>
      <c r="EDM136" s="17"/>
      <c r="EDN136" s="17"/>
      <c r="EDO136" s="17"/>
      <c r="EDP136" s="17"/>
      <c r="EDQ136" s="17"/>
      <c r="EDR136" s="17"/>
      <c r="EDS136" s="17"/>
      <c r="EDT136" s="17"/>
      <c r="EDU136" s="17"/>
      <c r="EDV136" s="17"/>
      <c r="EDW136" s="17"/>
      <c r="EDX136" s="17"/>
      <c r="EDY136" s="17"/>
      <c r="EDZ136" s="17"/>
      <c r="EEA136" s="17"/>
      <c r="EEB136" s="17"/>
      <c r="EEC136" s="17"/>
      <c r="EED136" s="17"/>
      <c r="EEE136" s="17"/>
      <c r="EEF136" s="17"/>
      <c r="EEG136" s="17"/>
      <c r="EEH136" s="17"/>
      <c r="EEI136" s="17"/>
      <c r="EEJ136" s="17"/>
      <c r="EEK136" s="17"/>
      <c r="EEL136" s="17"/>
      <c r="EEM136" s="17"/>
      <c r="EEN136" s="17"/>
      <c r="EEO136" s="17"/>
      <c r="EEP136" s="17"/>
      <c r="EEQ136" s="17"/>
      <c r="EER136" s="17"/>
      <c r="EES136" s="17"/>
      <c r="EET136" s="17"/>
      <c r="EEU136" s="17"/>
      <c r="EEV136" s="17"/>
      <c r="EEW136" s="17"/>
      <c r="EEX136" s="17"/>
      <c r="EEY136" s="17"/>
      <c r="EEZ136" s="17"/>
      <c r="EFA136" s="17"/>
      <c r="EFB136" s="17"/>
      <c r="EFC136" s="17"/>
      <c r="EFD136" s="17"/>
      <c r="EFE136" s="17"/>
      <c r="EFF136" s="17"/>
      <c r="EFG136" s="17"/>
      <c r="EFH136" s="17"/>
      <c r="EFI136" s="17"/>
      <c r="EFJ136" s="17"/>
      <c r="EFK136" s="17"/>
      <c r="EFL136" s="17"/>
      <c r="EFM136" s="17"/>
      <c r="EFN136" s="17"/>
      <c r="EFO136" s="17"/>
      <c r="EFP136" s="17"/>
      <c r="EFQ136" s="17"/>
      <c r="EFR136" s="17"/>
      <c r="EFS136" s="17"/>
      <c r="EFT136" s="17"/>
      <c r="EFU136" s="17"/>
      <c r="EFV136" s="17"/>
      <c r="EFW136" s="17"/>
      <c r="EFX136" s="17"/>
      <c r="EFY136" s="17"/>
      <c r="EFZ136" s="17"/>
      <c r="EGA136" s="17"/>
      <c r="EGB136" s="17"/>
      <c r="EGC136" s="17"/>
      <c r="EGD136" s="17"/>
      <c r="EGE136" s="17"/>
      <c r="EGF136" s="17"/>
      <c r="EGG136" s="17"/>
      <c r="EGH136" s="17"/>
      <c r="EGI136" s="17"/>
      <c r="EGJ136" s="17"/>
      <c r="EGK136" s="17"/>
      <c r="EGL136" s="17"/>
      <c r="EGM136" s="17"/>
      <c r="EGN136" s="17"/>
      <c r="EGO136" s="17"/>
      <c r="EGP136" s="17"/>
      <c r="EGQ136" s="17"/>
      <c r="EGR136" s="17"/>
      <c r="EGS136" s="17"/>
      <c r="EGT136" s="17"/>
      <c r="EGU136" s="17"/>
      <c r="EGV136" s="17"/>
      <c r="EGW136" s="17"/>
      <c r="EGX136" s="17"/>
      <c r="EGY136" s="17"/>
      <c r="EGZ136" s="17"/>
      <c r="EHA136" s="17"/>
      <c r="EHB136" s="17"/>
      <c r="EHC136" s="17"/>
      <c r="EHD136" s="17"/>
      <c r="EHE136" s="17"/>
      <c r="EHF136" s="17"/>
      <c r="EHG136" s="17"/>
      <c r="EHH136" s="17"/>
      <c r="EHI136" s="17"/>
      <c r="EHJ136" s="17"/>
      <c r="EHK136" s="17"/>
      <c r="EHL136" s="17"/>
      <c r="EHM136" s="17"/>
      <c r="EHN136" s="17"/>
      <c r="EHO136" s="17"/>
      <c r="EHP136" s="17"/>
      <c r="EHQ136" s="17"/>
      <c r="EHR136" s="17"/>
      <c r="EHS136" s="17"/>
      <c r="EHT136" s="17"/>
      <c r="EHU136" s="17"/>
      <c r="EHV136" s="17"/>
      <c r="EHW136" s="17"/>
      <c r="EHX136" s="17"/>
      <c r="EHY136" s="17"/>
      <c r="EHZ136" s="17"/>
      <c r="EIA136" s="17"/>
      <c r="EIB136" s="17"/>
      <c r="EIC136" s="17"/>
      <c r="EID136" s="17"/>
      <c r="EIE136" s="17"/>
      <c r="EIF136" s="17"/>
      <c r="EIG136" s="17"/>
      <c r="EIH136" s="17"/>
      <c r="EII136" s="17"/>
      <c r="EIJ136" s="17"/>
      <c r="EIK136" s="17"/>
      <c r="EIL136" s="17"/>
      <c r="EIM136" s="17"/>
      <c r="EIN136" s="17"/>
      <c r="EIO136" s="17"/>
      <c r="EIP136" s="17"/>
      <c r="EIQ136" s="17"/>
      <c r="EIR136" s="17"/>
      <c r="EIS136" s="17"/>
      <c r="EIT136" s="17"/>
      <c r="EIU136" s="17"/>
      <c r="EIV136" s="17"/>
      <c r="EIW136" s="17"/>
      <c r="EIX136" s="17"/>
      <c r="EIY136" s="17"/>
      <c r="EIZ136" s="17"/>
      <c r="EJA136" s="17"/>
      <c r="EJB136" s="17"/>
      <c r="EJC136" s="17"/>
      <c r="EJD136" s="17"/>
      <c r="EJE136" s="17"/>
      <c r="EJF136" s="17"/>
      <c r="EJG136" s="17"/>
      <c r="EJH136" s="17"/>
      <c r="EJI136" s="17"/>
      <c r="EJJ136" s="17"/>
      <c r="EJK136" s="17"/>
      <c r="EJL136" s="17"/>
      <c r="EJM136" s="17"/>
      <c r="EJN136" s="17"/>
      <c r="EJO136" s="17"/>
      <c r="EJP136" s="17"/>
      <c r="EJQ136" s="17"/>
      <c r="EJR136" s="17"/>
      <c r="EJS136" s="17"/>
      <c r="EJT136" s="17"/>
      <c r="EJU136" s="17"/>
      <c r="EJV136" s="17"/>
      <c r="EJW136" s="17"/>
      <c r="EJX136" s="17"/>
      <c r="EJY136" s="17"/>
      <c r="EJZ136" s="17"/>
      <c r="EKA136" s="17"/>
      <c r="EKB136" s="17"/>
      <c r="EKC136" s="17"/>
      <c r="EKD136" s="17"/>
      <c r="EKE136" s="17"/>
      <c r="EKF136" s="17"/>
      <c r="EKG136" s="17"/>
      <c r="EKH136" s="17"/>
      <c r="EKI136" s="17"/>
      <c r="EKJ136" s="17"/>
      <c r="EKK136" s="17"/>
      <c r="EKL136" s="17"/>
      <c r="EKM136" s="17"/>
      <c r="EKN136" s="17"/>
      <c r="EKO136" s="17"/>
      <c r="EKP136" s="17"/>
      <c r="EKQ136" s="17"/>
      <c r="EKR136" s="17"/>
      <c r="EKS136" s="17"/>
      <c r="EKT136" s="17"/>
      <c r="EKU136" s="17"/>
      <c r="EKV136" s="17"/>
      <c r="EKW136" s="17"/>
      <c r="EKX136" s="17"/>
      <c r="EKY136" s="17"/>
      <c r="EKZ136" s="17"/>
      <c r="ELA136" s="17"/>
      <c r="ELB136" s="17"/>
      <c r="ELC136" s="17"/>
      <c r="ELD136" s="17"/>
      <c r="ELE136" s="17"/>
      <c r="ELF136" s="17"/>
      <c r="ELG136" s="17"/>
      <c r="ELH136" s="17"/>
      <c r="ELI136" s="17"/>
      <c r="ELJ136" s="17"/>
      <c r="ELK136" s="17"/>
      <c r="ELL136" s="17"/>
      <c r="ELM136" s="17"/>
      <c r="ELN136" s="17"/>
      <c r="ELO136" s="17"/>
      <c r="ELP136" s="17"/>
      <c r="ELQ136" s="17"/>
      <c r="ELR136" s="17"/>
      <c r="ELS136" s="17"/>
      <c r="ELT136" s="17"/>
      <c r="ELU136" s="17"/>
      <c r="ELV136" s="17"/>
      <c r="ELW136" s="17"/>
      <c r="ELX136" s="17"/>
      <c r="ELY136" s="17"/>
      <c r="ELZ136" s="17"/>
      <c r="EMA136" s="17"/>
      <c r="EMB136" s="17"/>
      <c r="EMC136" s="17"/>
      <c r="EMD136" s="17"/>
      <c r="EME136" s="17"/>
      <c r="EMF136" s="17"/>
      <c r="EMG136" s="17"/>
      <c r="EMH136" s="17"/>
      <c r="EMI136" s="17"/>
      <c r="EMJ136" s="17"/>
      <c r="EMK136" s="17"/>
      <c r="EML136" s="17"/>
      <c r="EMM136" s="17"/>
      <c r="EMN136" s="17"/>
      <c r="EMO136" s="17"/>
      <c r="EMP136" s="17"/>
      <c r="EMQ136" s="17"/>
      <c r="EMR136" s="17"/>
      <c r="EMS136" s="17"/>
      <c r="EMT136" s="17"/>
      <c r="EMU136" s="17"/>
      <c r="EMV136" s="17"/>
      <c r="EMW136" s="17"/>
      <c r="EMX136" s="17"/>
      <c r="EMY136" s="17"/>
      <c r="EMZ136" s="17"/>
      <c r="ENA136" s="17"/>
      <c r="ENB136" s="17"/>
      <c r="ENC136" s="17"/>
      <c r="END136" s="17"/>
      <c r="ENE136" s="17"/>
      <c r="ENF136" s="17"/>
      <c r="ENG136" s="17"/>
      <c r="ENH136" s="17"/>
      <c r="ENI136" s="17"/>
      <c r="ENJ136" s="17"/>
      <c r="ENK136" s="17"/>
      <c r="ENL136" s="17"/>
      <c r="ENM136" s="17"/>
      <c r="ENN136" s="17"/>
      <c r="ENO136" s="17"/>
      <c r="ENP136" s="17"/>
      <c r="ENQ136" s="17"/>
      <c r="ENR136" s="17"/>
      <c r="ENS136" s="17"/>
      <c r="ENT136" s="17"/>
      <c r="ENU136" s="17"/>
      <c r="ENV136" s="17"/>
      <c r="ENW136" s="17"/>
      <c r="ENX136" s="17"/>
      <c r="ENY136" s="17"/>
      <c r="ENZ136" s="17"/>
      <c r="EOA136" s="17"/>
      <c r="EOB136" s="17"/>
      <c r="EOC136" s="17"/>
      <c r="EOD136" s="17"/>
      <c r="EOE136" s="17"/>
      <c r="EOF136" s="17"/>
      <c r="EOG136" s="17"/>
      <c r="EOH136" s="17"/>
      <c r="EOI136" s="17"/>
      <c r="EOJ136" s="17"/>
      <c r="EOK136" s="17"/>
      <c r="EOL136" s="17"/>
      <c r="EOM136" s="17"/>
      <c r="EON136" s="17"/>
      <c r="EOO136" s="17"/>
      <c r="EOP136" s="17"/>
      <c r="EOQ136" s="17"/>
      <c r="EOR136" s="17"/>
      <c r="EOS136" s="17"/>
      <c r="EOT136" s="17"/>
      <c r="EOU136" s="17"/>
      <c r="EOV136" s="17"/>
      <c r="EOW136" s="17"/>
      <c r="EOX136" s="17"/>
      <c r="EOY136" s="17"/>
      <c r="EOZ136" s="17"/>
      <c r="EPA136" s="17"/>
      <c r="EPB136" s="17"/>
      <c r="EPC136" s="17"/>
      <c r="EPD136" s="17"/>
      <c r="EPE136" s="17"/>
      <c r="EPF136" s="17"/>
      <c r="EPG136" s="17"/>
      <c r="EPH136" s="17"/>
      <c r="EPI136" s="17"/>
      <c r="EPJ136" s="17"/>
      <c r="EPK136" s="17"/>
      <c r="EPL136" s="17"/>
      <c r="EPM136" s="17"/>
      <c r="EPN136" s="17"/>
      <c r="EPO136" s="17"/>
      <c r="EPP136" s="17"/>
      <c r="EPQ136" s="17"/>
      <c r="EPR136" s="17"/>
      <c r="EPS136" s="17"/>
      <c r="EPT136" s="17"/>
      <c r="EPU136" s="17"/>
      <c r="EPV136" s="17"/>
      <c r="EPW136" s="17"/>
      <c r="EPX136" s="17"/>
      <c r="EPY136" s="17"/>
      <c r="EPZ136" s="17"/>
      <c r="EQA136" s="17"/>
      <c r="EQB136" s="17"/>
      <c r="EQC136" s="17"/>
      <c r="EQD136" s="17"/>
      <c r="EQE136" s="17"/>
      <c r="EQF136" s="17"/>
      <c r="EQG136" s="17"/>
      <c r="EQH136" s="17"/>
      <c r="EQI136" s="17"/>
      <c r="EQJ136" s="17"/>
      <c r="EQK136" s="17"/>
      <c r="EQL136" s="17"/>
      <c r="EQM136" s="17"/>
      <c r="EQN136" s="17"/>
      <c r="EQO136" s="17"/>
      <c r="EQP136" s="17"/>
      <c r="EQQ136" s="17"/>
      <c r="EQR136" s="17"/>
      <c r="EQS136" s="17"/>
      <c r="EQT136" s="17"/>
      <c r="EQU136" s="17"/>
      <c r="EQV136" s="17"/>
      <c r="EQW136" s="17"/>
      <c r="EQX136" s="17"/>
      <c r="EQY136" s="17"/>
      <c r="EQZ136" s="17"/>
      <c r="ERA136" s="17"/>
      <c r="ERB136" s="17"/>
      <c r="ERC136" s="17"/>
      <c r="ERD136" s="17"/>
      <c r="ERE136" s="17"/>
      <c r="ERF136" s="17"/>
      <c r="ERG136" s="17"/>
      <c r="ERH136" s="17"/>
      <c r="ERI136" s="17"/>
      <c r="ERJ136" s="17"/>
      <c r="ERK136" s="17"/>
      <c r="ERL136" s="17"/>
      <c r="ERM136" s="17"/>
      <c r="ERN136" s="17"/>
      <c r="ERO136" s="17"/>
      <c r="ERP136" s="17"/>
      <c r="ERQ136" s="17"/>
      <c r="ERR136" s="17"/>
      <c r="ERS136" s="17"/>
      <c r="ERT136" s="17"/>
      <c r="ERU136" s="17"/>
      <c r="ERV136" s="17"/>
      <c r="ERW136" s="17"/>
      <c r="ERX136" s="17"/>
      <c r="ERY136" s="17"/>
      <c r="ERZ136" s="17"/>
      <c r="ESA136" s="17"/>
      <c r="ESB136" s="17"/>
      <c r="ESC136" s="17"/>
      <c r="ESD136" s="17"/>
      <c r="ESE136" s="17"/>
      <c r="ESF136" s="17"/>
      <c r="ESG136" s="17"/>
      <c r="ESH136" s="17"/>
      <c r="ESI136" s="17"/>
      <c r="ESJ136" s="17"/>
      <c r="ESK136" s="17"/>
      <c r="ESL136" s="17"/>
      <c r="ESM136" s="17"/>
      <c r="ESN136" s="17"/>
      <c r="ESO136" s="17"/>
      <c r="ESP136" s="17"/>
      <c r="ESQ136" s="17"/>
      <c r="ESR136" s="17"/>
      <c r="ESS136" s="17"/>
      <c r="EST136" s="17"/>
      <c r="ESU136" s="17"/>
      <c r="ESV136" s="17"/>
      <c r="ESW136" s="17"/>
      <c r="ESX136" s="17"/>
      <c r="ESY136" s="17"/>
      <c r="ESZ136" s="17"/>
      <c r="ETA136" s="17"/>
      <c r="ETB136" s="17"/>
      <c r="ETC136" s="17"/>
      <c r="ETD136" s="17"/>
      <c r="ETE136" s="17"/>
      <c r="ETF136" s="17"/>
      <c r="ETG136" s="17"/>
      <c r="ETH136" s="17"/>
      <c r="ETI136" s="17"/>
      <c r="ETJ136" s="17"/>
      <c r="ETK136" s="17"/>
      <c r="ETL136" s="17"/>
      <c r="ETM136" s="17"/>
      <c r="ETN136" s="17"/>
      <c r="ETO136" s="17"/>
      <c r="ETP136" s="17"/>
      <c r="ETQ136" s="17"/>
      <c r="ETR136" s="17"/>
      <c r="ETS136" s="17"/>
      <c r="ETT136" s="17"/>
      <c r="ETU136" s="17"/>
      <c r="ETV136" s="17"/>
      <c r="ETW136" s="17"/>
      <c r="ETX136" s="17"/>
      <c r="ETY136" s="17"/>
      <c r="ETZ136" s="17"/>
      <c r="EUA136" s="17"/>
      <c r="EUB136" s="17"/>
      <c r="EUC136" s="17"/>
      <c r="EUD136" s="17"/>
      <c r="EUE136" s="17"/>
      <c r="EUF136" s="17"/>
      <c r="EUG136" s="17"/>
      <c r="EUH136" s="17"/>
      <c r="EUI136" s="17"/>
      <c r="EUJ136" s="17"/>
      <c r="EUK136" s="17"/>
      <c r="EUL136" s="17"/>
      <c r="EUM136" s="17"/>
      <c r="EUN136" s="17"/>
      <c r="EUO136" s="17"/>
      <c r="EUP136" s="17"/>
      <c r="EUQ136" s="17"/>
      <c r="EUR136" s="17"/>
      <c r="EUS136" s="17"/>
      <c r="EUT136" s="17"/>
      <c r="EUU136" s="17"/>
      <c r="EUV136" s="17"/>
      <c r="EUW136" s="17"/>
      <c r="EUX136" s="17"/>
      <c r="EUY136" s="17"/>
      <c r="EUZ136" s="17"/>
      <c r="EVA136" s="17"/>
      <c r="EVB136" s="17"/>
      <c r="EVC136" s="17"/>
      <c r="EVD136" s="17"/>
      <c r="EVE136" s="17"/>
      <c r="EVF136" s="17"/>
      <c r="EVG136" s="17"/>
      <c r="EVH136" s="17"/>
      <c r="EVI136" s="17"/>
      <c r="EVJ136" s="17"/>
      <c r="EVK136" s="17"/>
      <c r="EVL136" s="17"/>
      <c r="EVM136" s="17"/>
      <c r="EVN136" s="17"/>
      <c r="EVO136" s="17"/>
      <c r="EVP136" s="17"/>
      <c r="EVQ136" s="17"/>
      <c r="EVR136" s="17"/>
      <c r="EVS136" s="17"/>
      <c r="EVT136" s="17"/>
      <c r="EVU136" s="17"/>
      <c r="EVV136" s="17"/>
      <c r="EVW136" s="17"/>
      <c r="EVX136" s="17"/>
      <c r="EVY136" s="17"/>
      <c r="EVZ136" s="17"/>
      <c r="EWA136" s="17"/>
      <c r="EWB136" s="17"/>
      <c r="EWC136" s="17"/>
      <c r="EWD136" s="17"/>
      <c r="EWE136" s="17"/>
      <c r="EWF136" s="17"/>
      <c r="EWG136" s="17"/>
      <c r="EWH136" s="17"/>
      <c r="EWI136" s="17"/>
      <c r="EWJ136" s="17"/>
      <c r="EWK136" s="17"/>
      <c r="EWL136" s="17"/>
      <c r="EWM136" s="17"/>
      <c r="EWN136" s="17"/>
      <c r="EWO136" s="17"/>
      <c r="EWP136" s="17"/>
      <c r="EWQ136" s="17"/>
      <c r="EWR136" s="17"/>
      <c r="EWS136" s="17"/>
      <c r="EWT136" s="17"/>
      <c r="EWU136" s="17"/>
      <c r="EWV136" s="17"/>
      <c r="EWW136" s="17"/>
      <c r="EWX136" s="17"/>
      <c r="EWY136" s="17"/>
      <c r="EWZ136" s="17"/>
      <c r="EXA136" s="17"/>
      <c r="EXB136" s="17"/>
      <c r="EXC136" s="17"/>
      <c r="EXD136" s="17"/>
      <c r="EXE136" s="17"/>
      <c r="EXF136" s="17"/>
      <c r="EXG136" s="17"/>
      <c r="EXH136" s="17"/>
      <c r="EXI136" s="17"/>
      <c r="EXJ136" s="17"/>
      <c r="EXK136" s="17"/>
      <c r="EXL136" s="17"/>
      <c r="EXM136" s="17"/>
      <c r="EXN136" s="17"/>
      <c r="EXO136" s="17"/>
      <c r="EXP136" s="17"/>
      <c r="EXQ136" s="17"/>
      <c r="EXR136" s="17"/>
      <c r="EXS136" s="17"/>
      <c r="EXT136" s="17"/>
      <c r="EXU136" s="17"/>
      <c r="EXV136" s="17"/>
      <c r="EXW136" s="17"/>
      <c r="EXX136" s="17"/>
      <c r="EXY136" s="17"/>
      <c r="EXZ136" s="17"/>
      <c r="EYA136" s="17"/>
      <c r="EYB136" s="17"/>
      <c r="EYC136" s="17"/>
      <c r="EYD136" s="17"/>
      <c r="EYE136" s="17"/>
      <c r="EYF136" s="17"/>
      <c r="EYG136" s="17"/>
      <c r="EYH136" s="17"/>
      <c r="EYI136" s="17"/>
      <c r="EYJ136" s="17"/>
      <c r="EYK136" s="17"/>
      <c r="EYL136" s="17"/>
      <c r="EYM136" s="17"/>
      <c r="EYN136" s="17"/>
      <c r="EYO136" s="17"/>
      <c r="EYP136" s="17"/>
      <c r="EYQ136" s="17"/>
      <c r="EYR136" s="17"/>
      <c r="EYS136" s="17"/>
      <c r="EYT136" s="17"/>
      <c r="EYU136" s="17"/>
      <c r="EYV136" s="17"/>
      <c r="EYW136" s="17"/>
      <c r="EYX136" s="17"/>
      <c r="EYY136" s="17"/>
      <c r="EYZ136" s="17"/>
      <c r="EZA136" s="17"/>
      <c r="EZB136" s="17"/>
      <c r="EZC136" s="17"/>
      <c r="EZD136" s="17"/>
      <c r="EZE136" s="17"/>
      <c r="EZF136" s="17"/>
      <c r="EZG136" s="17"/>
      <c r="EZH136" s="17"/>
      <c r="EZI136" s="17"/>
      <c r="EZJ136" s="17"/>
      <c r="EZK136" s="17"/>
      <c r="EZL136" s="17"/>
      <c r="EZM136" s="17"/>
      <c r="EZN136" s="17"/>
      <c r="EZO136" s="17"/>
      <c r="EZP136" s="17"/>
      <c r="EZQ136" s="17"/>
      <c r="EZR136" s="17"/>
      <c r="EZS136" s="17"/>
      <c r="EZT136" s="17"/>
      <c r="EZU136" s="17"/>
      <c r="EZV136" s="17"/>
      <c r="EZW136" s="17"/>
      <c r="EZX136" s="17"/>
      <c r="EZY136" s="17"/>
      <c r="EZZ136" s="17"/>
      <c r="FAA136" s="17"/>
      <c r="FAB136" s="17"/>
      <c r="FAC136" s="17"/>
      <c r="FAD136" s="17"/>
      <c r="FAE136" s="17"/>
      <c r="FAF136" s="17"/>
      <c r="FAG136" s="17"/>
      <c r="FAH136" s="17"/>
      <c r="FAI136" s="17"/>
      <c r="FAJ136" s="17"/>
      <c r="FAK136" s="17"/>
      <c r="FAL136" s="17"/>
      <c r="FAM136" s="17"/>
      <c r="FAN136" s="17"/>
      <c r="FAO136" s="17"/>
      <c r="FAP136" s="17"/>
      <c r="FAQ136" s="17"/>
      <c r="FAR136" s="17"/>
      <c r="FAS136" s="17"/>
      <c r="FAT136" s="17"/>
      <c r="FAU136" s="17"/>
      <c r="FAV136" s="17"/>
      <c r="FAW136" s="17"/>
      <c r="FAX136" s="17"/>
      <c r="FAY136" s="17"/>
      <c r="FAZ136" s="17"/>
      <c r="FBA136" s="17"/>
      <c r="FBB136" s="17"/>
      <c r="FBC136" s="17"/>
      <c r="FBD136" s="17"/>
      <c r="FBE136" s="17"/>
      <c r="FBF136" s="17"/>
      <c r="FBG136" s="17"/>
      <c r="FBH136" s="17"/>
      <c r="FBI136" s="17"/>
      <c r="FBJ136" s="17"/>
      <c r="FBK136" s="17"/>
      <c r="FBL136" s="17"/>
      <c r="FBM136" s="17"/>
      <c r="FBN136" s="17"/>
      <c r="FBO136" s="17"/>
      <c r="FBP136" s="17"/>
      <c r="FBQ136" s="17"/>
      <c r="FBR136" s="17"/>
      <c r="FBS136" s="17"/>
      <c r="FBT136" s="17"/>
      <c r="FBU136" s="17"/>
      <c r="FBV136" s="17"/>
      <c r="FBW136" s="17"/>
      <c r="FBX136" s="17"/>
      <c r="FBY136" s="17"/>
      <c r="FBZ136" s="17"/>
      <c r="FCA136" s="17"/>
      <c r="FCB136" s="17"/>
      <c r="FCC136" s="17"/>
      <c r="FCD136" s="17"/>
      <c r="FCE136" s="17"/>
      <c r="FCF136" s="17"/>
      <c r="FCG136" s="17"/>
      <c r="FCH136" s="17"/>
      <c r="FCI136" s="17"/>
      <c r="FCJ136" s="17"/>
      <c r="FCK136" s="17"/>
      <c r="FCL136" s="17"/>
      <c r="FCM136" s="17"/>
      <c r="FCN136" s="17"/>
      <c r="FCO136" s="17"/>
      <c r="FCP136" s="17"/>
      <c r="FCQ136" s="17"/>
      <c r="FCR136" s="17"/>
      <c r="FCS136" s="17"/>
      <c r="FCT136" s="17"/>
      <c r="FCU136" s="17"/>
      <c r="FCV136" s="17"/>
      <c r="FCW136" s="17"/>
      <c r="FCX136" s="17"/>
      <c r="FCY136" s="17"/>
      <c r="FCZ136" s="17"/>
      <c r="FDA136" s="17"/>
      <c r="FDB136" s="17"/>
      <c r="FDC136" s="17"/>
      <c r="FDD136" s="17"/>
      <c r="FDE136" s="17"/>
      <c r="FDF136" s="17"/>
      <c r="FDG136" s="17"/>
      <c r="FDH136" s="17"/>
      <c r="FDI136" s="17"/>
      <c r="FDJ136" s="17"/>
      <c r="FDK136" s="17"/>
      <c r="FDL136" s="17"/>
      <c r="FDM136" s="17"/>
      <c r="FDN136" s="17"/>
      <c r="FDO136" s="17"/>
      <c r="FDP136" s="17"/>
      <c r="FDQ136" s="17"/>
      <c r="FDR136" s="17"/>
      <c r="FDS136" s="17"/>
      <c r="FDT136" s="17"/>
      <c r="FDU136" s="17"/>
      <c r="FDV136" s="17"/>
      <c r="FDW136" s="17"/>
      <c r="FDX136" s="17"/>
      <c r="FDY136" s="17"/>
      <c r="FDZ136" s="17"/>
      <c r="FEA136" s="17"/>
      <c r="FEB136" s="17"/>
      <c r="FEC136" s="17"/>
      <c r="FED136" s="17"/>
      <c r="FEE136" s="17"/>
      <c r="FEF136" s="17"/>
      <c r="FEG136" s="17"/>
      <c r="FEH136" s="17"/>
      <c r="FEI136" s="17"/>
      <c r="FEJ136" s="17"/>
      <c r="FEK136" s="17"/>
      <c r="FEL136" s="17"/>
      <c r="FEM136" s="17"/>
      <c r="FEN136" s="17"/>
      <c r="FEO136" s="17"/>
      <c r="FEP136" s="17"/>
      <c r="FEQ136" s="17"/>
      <c r="FER136" s="17"/>
      <c r="FES136" s="17"/>
      <c r="FET136" s="17"/>
      <c r="FEU136" s="17"/>
      <c r="FEV136" s="17"/>
      <c r="FEW136" s="17"/>
      <c r="FEX136" s="17"/>
      <c r="FEY136" s="17"/>
      <c r="FEZ136" s="17"/>
      <c r="FFA136" s="17"/>
      <c r="FFB136" s="17"/>
      <c r="FFC136" s="17"/>
      <c r="FFD136" s="17"/>
      <c r="FFE136" s="17"/>
      <c r="FFF136" s="17"/>
      <c r="FFG136" s="17"/>
      <c r="FFH136" s="17"/>
      <c r="FFI136" s="17"/>
      <c r="FFJ136" s="17"/>
      <c r="FFK136" s="17"/>
      <c r="FFL136" s="17"/>
      <c r="FFM136" s="17"/>
      <c r="FFN136" s="17"/>
      <c r="FFO136" s="17"/>
      <c r="FFP136" s="17"/>
      <c r="FFQ136" s="17"/>
      <c r="FFR136" s="17"/>
      <c r="FFS136" s="17"/>
      <c r="FFT136" s="17"/>
      <c r="FFU136" s="17"/>
      <c r="FFV136" s="17"/>
      <c r="FFW136" s="17"/>
      <c r="FFX136" s="17"/>
      <c r="FFY136" s="17"/>
      <c r="FFZ136" s="17"/>
      <c r="FGA136" s="17"/>
      <c r="FGB136" s="17"/>
      <c r="FGC136" s="17"/>
      <c r="FGD136" s="17"/>
      <c r="FGE136" s="17"/>
      <c r="FGF136" s="17"/>
      <c r="FGG136" s="17"/>
      <c r="FGH136" s="17"/>
      <c r="FGI136" s="17"/>
      <c r="FGJ136" s="17"/>
      <c r="FGK136" s="17"/>
      <c r="FGL136" s="17"/>
      <c r="FGM136" s="17"/>
      <c r="FGN136" s="17"/>
      <c r="FGO136" s="17"/>
      <c r="FGP136" s="17"/>
      <c r="FGQ136" s="17"/>
      <c r="FGR136" s="17"/>
      <c r="FGS136" s="17"/>
      <c r="FGT136" s="17"/>
      <c r="FGU136" s="17"/>
      <c r="FGV136" s="17"/>
      <c r="FGW136" s="17"/>
      <c r="FGX136" s="17"/>
      <c r="FGY136" s="17"/>
      <c r="FGZ136" s="17"/>
      <c r="FHA136" s="17"/>
      <c r="FHB136" s="17"/>
      <c r="FHC136" s="17"/>
      <c r="FHD136" s="17"/>
      <c r="FHE136" s="17"/>
      <c r="FHF136" s="17"/>
      <c r="FHG136" s="17"/>
      <c r="FHH136" s="17"/>
      <c r="FHI136" s="17"/>
      <c r="FHJ136" s="17"/>
      <c r="FHK136" s="17"/>
      <c r="FHL136" s="17"/>
      <c r="FHM136" s="17"/>
      <c r="FHN136" s="17"/>
      <c r="FHO136" s="17"/>
      <c r="FHP136" s="17"/>
      <c r="FHQ136" s="17"/>
      <c r="FHR136" s="17"/>
      <c r="FHS136" s="17"/>
      <c r="FHT136" s="17"/>
      <c r="FHU136" s="17"/>
      <c r="FHV136" s="17"/>
      <c r="FHW136" s="17"/>
      <c r="FHX136" s="17"/>
      <c r="FHY136" s="17"/>
      <c r="FHZ136" s="17"/>
      <c r="FIA136" s="17"/>
      <c r="FIB136" s="17"/>
      <c r="FIC136" s="17"/>
      <c r="FID136" s="17"/>
      <c r="FIE136" s="17"/>
      <c r="FIF136" s="17"/>
      <c r="FIG136" s="17"/>
      <c r="FIH136" s="17"/>
      <c r="FII136" s="17"/>
      <c r="FIJ136" s="17"/>
      <c r="FIK136" s="17"/>
      <c r="FIL136" s="17"/>
      <c r="FIM136" s="17"/>
      <c r="FIN136" s="17"/>
      <c r="FIO136" s="17"/>
      <c r="FIP136" s="17"/>
      <c r="FIQ136" s="17"/>
      <c r="FIR136" s="17"/>
      <c r="FIS136" s="17"/>
      <c r="FIT136" s="17"/>
      <c r="FIU136" s="17"/>
      <c r="FIV136" s="17"/>
      <c r="FIW136" s="17"/>
      <c r="FIX136" s="17"/>
      <c r="FIY136" s="17"/>
      <c r="FIZ136" s="17"/>
      <c r="FJA136" s="17"/>
      <c r="FJB136" s="17"/>
      <c r="FJC136" s="17"/>
      <c r="FJD136" s="17"/>
      <c r="FJE136" s="17"/>
      <c r="FJF136" s="17"/>
      <c r="FJG136" s="17"/>
      <c r="FJH136" s="17"/>
      <c r="FJI136" s="17"/>
      <c r="FJJ136" s="17"/>
      <c r="FJK136" s="17"/>
      <c r="FJL136" s="17"/>
      <c r="FJM136" s="17"/>
      <c r="FJN136" s="17"/>
      <c r="FJO136" s="17"/>
      <c r="FJP136" s="17"/>
      <c r="FJQ136" s="17"/>
      <c r="FJR136" s="17"/>
      <c r="FJS136" s="17"/>
      <c r="FJT136" s="17"/>
      <c r="FJU136" s="17"/>
      <c r="FJV136" s="17"/>
      <c r="FJW136" s="17"/>
      <c r="FJX136" s="17"/>
      <c r="FJY136" s="17"/>
      <c r="FJZ136" s="17"/>
      <c r="FKA136" s="17"/>
      <c r="FKB136" s="17"/>
      <c r="FKC136" s="17"/>
      <c r="FKD136" s="17"/>
      <c r="FKE136" s="17"/>
      <c r="FKF136" s="17"/>
      <c r="FKG136" s="17"/>
      <c r="FKH136" s="17"/>
      <c r="FKI136" s="17"/>
      <c r="FKJ136" s="17"/>
      <c r="FKK136" s="17"/>
      <c r="FKL136" s="17"/>
      <c r="FKM136" s="17"/>
      <c r="FKN136" s="17"/>
      <c r="FKO136" s="17"/>
      <c r="FKP136" s="17"/>
      <c r="FKQ136" s="17"/>
      <c r="FKR136" s="17"/>
      <c r="FKS136" s="17"/>
      <c r="FKT136" s="17"/>
      <c r="FKU136" s="17"/>
      <c r="FKV136" s="17"/>
      <c r="FKW136" s="17"/>
      <c r="FKX136" s="17"/>
      <c r="FKY136" s="17"/>
      <c r="FKZ136" s="17"/>
      <c r="FLA136" s="17"/>
      <c r="FLB136" s="17"/>
      <c r="FLC136" s="17"/>
      <c r="FLD136" s="17"/>
      <c r="FLE136" s="17"/>
      <c r="FLF136" s="17"/>
      <c r="FLG136" s="17"/>
      <c r="FLH136" s="17"/>
      <c r="FLI136" s="17"/>
      <c r="FLJ136" s="17"/>
      <c r="FLK136" s="17"/>
      <c r="FLL136" s="17"/>
      <c r="FLM136" s="17"/>
      <c r="FLN136" s="17"/>
      <c r="FLO136" s="17"/>
      <c r="FLP136" s="17"/>
      <c r="FLQ136" s="17"/>
      <c r="FLR136" s="17"/>
      <c r="FLS136" s="17"/>
      <c r="FLT136" s="17"/>
      <c r="FLU136" s="17"/>
      <c r="FLV136" s="17"/>
      <c r="FLW136" s="17"/>
      <c r="FLX136" s="17"/>
      <c r="FLY136" s="17"/>
      <c r="FLZ136" s="17"/>
      <c r="FMA136" s="17"/>
      <c r="FMB136" s="17"/>
      <c r="FMC136" s="17"/>
      <c r="FMD136" s="17"/>
      <c r="FME136" s="17"/>
      <c r="FMF136" s="17"/>
      <c r="FMG136" s="17"/>
      <c r="FMH136" s="17"/>
      <c r="FMI136" s="17"/>
      <c r="FMJ136" s="17"/>
      <c r="FMK136" s="17"/>
      <c r="FML136" s="17"/>
      <c r="FMM136" s="17"/>
      <c r="FMN136" s="17"/>
      <c r="FMO136" s="17"/>
      <c r="FMP136" s="17"/>
      <c r="FMQ136" s="17"/>
      <c r="FMR136" s="17"/>
      <c r="FMS136" s="17"/>
      <c r="FMT136" s="17"/>
      <c r="FMU136" s="17"/>
      <c r="FMV136" s="17"/>
      <c r="FMW136" s="17"/>
      <c r="FMX136" s="17"/>
      <c r="FMY136" s="17"/>
      <c r="FMZ136" s="17"/>
      <c r="FNA136" s="17"/>
      <c r="FNB136" s="17"/>
      <c r="FNC136" s="17"/>
      <c r="FND136" s="17"/>
      <c r="FNE136" s="17"/>
      <c r="FNF136" s="17"/>
      <c r="FNG136" s="17"/>
      <c r="FNH136" s="17"/>
      <c r="FNI136" s="17"/>
      <c r="FNJ136" s="17"/>
      <c r="FNK136" s="17"/>
      <c r="FNL136" s="17"/>
      <c r="FNM136" s="17"/>
      <c r="FNN136" s="17"/>
      <c r="FNO136" s="17"/>
      <c r="FNP136" s="17"/>
      <c r="FNQ136" s="17"/>
      <c r="FNR136" s="17"/>
      <c r="FNS136" s="17"/>
      <c r="FNT136" s="17"/>
      <c r="FNU136" s="17"/>
      <c r="FNV136" s="17"/>
      <c r="FNW136" s="17"/>
      <c r="FNX136" s="17"/>
      <c r="FNY136" s="17"/>
      <c r="FNZ136" s="17"/>
      <c r="FOA136" s="17"/>
      <c r="FOB136" s="17"/>
      <c r="FOC136" s="17"/>
      <c r="FOD136" s="17"/>
      <c r="FOE136" s="17"/>
      <c r="FOF136" s="17"/>
      <c r="FOG136" s="17"/>
      <c r="FOH136" s="17"/>
      <c r="FOI136" s="17"/>
      <c r="FOJ136" s="17"/>
      <c r="FOK136" s="17"/>
      <c r="FOL136" s="17"/>
      <c r="FOM136" s="17"/>
      <c r="FON136" s="17"/>
      <c r="FOO136" s="17"/>
      <c r="FOP136" s="17"/>
      <c r="FOQ136" s="17"/>
      <c r="FOR136" s="17"/>
      <c r="FOS136" s="17"/>
      <c r="FOT136" s="17"/>
      <c r="FOU136" s="17"/>
      <c r="FOV136" s="17"/>
      <c r="FOW136" s="17"/>
      <c r="FOX136" s="17"/>
      <c r="FOY136" s="17"/>
      <c r="FOZ136" s="17"/>
      <c r="FPA136" s="17"/>
      <c r="FPB136" s="17"/>
      <c r="FPC136" s="17"/>
      <c r="FPD136" s="17"/>
      <c r="FPE136" s="17"/>
      <c r="FPF136" s="17"/>
      <c r="FPG136" s="17"/>
      <c r="FPH136" s="17"/>
      <c r="FPI136" s="17"/>
      <c r="FPJ136" s="17"/>
      <c r="FPK136" s="17"/>
      <c r="FPL136" s="17"/>
      <c r="FPM136" s="17"/>
      <c r="FPN136" s="17"/>
      <c r="FPO136" s="17"/>
      <c r="FPP136" s="17"/>
      <c r="FPQ136" s="17"/>
      <c r="FPR136" s="17"/>
      <c r="FPS136" s="17"/>
      <c r="FPT136" s="17"/>
      <c r="FPU136" s="17"/>
      <c r="FPV136" s="17"/>
      <c r="FPW136" s="17"/>
      <c r="FPX136" s="17"/>
      <c r="FPY136" s="17"/>
      <c r="FPZ136" s="17"/>
      <c r="FQA136" s="17"/>
      <c r="FQB136" s="17"/>
      <c r="FQC136" s="17"/>
      <c r="FQD136" s="17"/>
      <c r="FQE136" s="17"/>
      <c r="FQF136" s="17"/>
      <c r="FQG136" s="17"/>
      <c r="FQH136" s="17"/>
      <c r="FQI136" s="17"/>
      <c r="FQJ136" s="17"/>
      <c r="FQK136" s="17"/>
      <c r="FQL136" s="17"/>
      <c r="FQM136" s="17"/>
      <c r="FQN136" s="17"/>
      <c r="FQO136" s="17"/>
      <c r="FQP136" s="17"/>
      <c r="FQQ136" s="17"/>
      <c r="FQR136" s="17"/>
      <c r="FQS136" s="17"/>
      <c r="FQT136" s="17"/>
      <c r="FQU136" s="17"/>
      <c r="FQV136" s="17"/>
      <c r="FQW136" s="17"/>
      <c r="FQX136" s="17"/>
      <c r="FQY136" s="17"/>
      <c r="FQZ136" s="17"/>
      <c r="FRA136" s="17"/>
      <c r="FRB136" s="17"/>
      <c r="FRC136" s="17"/>
      <c r="FRD136" s="17"/>
      <c r="FRE136" s="17"/>
      <c r="FRF136" s="17"/>
      <c r="FRG136" s="17"/>
      <c r="FRH136" s="17"/>
      <c r="FRI136" s="17"/>
      <c r="FRJ136" s="17"/>
      <c r="FRK136" s="17"/>
      <c r="FRL136" s="17"/>
      <c r="FRM136" s="17"/>
      <c r="FRN136" s="17"/>
      <c r="FRO136" s="17"/>
      <c r="FRP136" s="17"/>
      <c r="FRQ136" s="17"/>
      <c r="FRR136" s="17"/>
      <c r="FRS136" s="17"/>
      <c r="FRT136" s="17"/>
      <c r="FRU136" s="17"/>
      <c r="FRV136" s="17"/>
      <c r="FRW136" s="17"/>
      <c r="FRX136" s="17"/>
      <c r="FRY136" s="17"/>
      <c r="FRZ136" s="17"/>
      <c r="FSA136" s="17"/>
      <c r="FSB136" s="17"/>
      <c r="FSC136" s="17"/>
      <c r="FSD136" s="17"/>
      <c r="FSE136" s="17"/>
      <c r="FSF136" s="17"/>
      <c r="FSG136" s="17"/>
      <c r="FSH136" s="17"/>
      <c r="FSI136" s="17"/>
      <c r="FSJ136" s="17"/>
      <c r="FSK136" s="17"/>
      <c r="FSL136" s="17"/>
      <c r="FSM136" s="17"/>
      <c r="FSN136" s="17"/>
      <c r="FSO136" s="17"/>
      <c r="FSP136" s="17"/>
      <c r="FSQ136" s="17"/>
      <c r="FSR136" s="17"/>
      <c r="FSS136" s="17"/>
      <c r="FST136" s="17"/>
      <c r="FSU136" s="17"/>
      <c r="FSV136" s="17"/>
      <c r="FSW136" s="17"/>
      <c r="FSX136" s="17"/>
      <c r="FSY136" s="17"/>
      <c r="FSZ136" s="17"/>
      <c r="FTA136" s="17"/>
      <c r="FTB136" s="17"/>
      <c r="FTC136" s="17"/>
      <c r="FTD136" s="17"/>
      <c r="FTE136" s="17"/>
      <c r="FTF136" s="17"/>
      <c r="FTG136" s="17"/>
      <c r="FTH136" s="17"/>
      <c r="FTI136" s="17"/>
      <c r="FTJ136" s="17"/>
      <c r="FTK136" s="17"/>
      <c r="FTL136" s="17"/>
      <c r="FTM136" s="17"/>
      <c r="FTN136" s="17"/>
      <c r="FTO136" s="17"/>
      <c r="FTP136" s="17"/>
      <c r="FTQ136" s="17"/>
      <c r="FTR136" s="17"/>
      <c r="FTS136" s="17"/>
      <c r="FTT136" s="17"/>
      <c r="FTU136" s="17"/>
      <c r="FTV136" s="17"/>
      <c r="FTW136" s="17"/>
      <c r="FTX136" s="17"/>
      <c r="FTY136" s="17"/>
      <c r="FTZ136" s="17"/>
      <c r="FUA136" s="17"/>
      <c r="FUB136" s="17"/>
      <c r="FUC136" s="17"/>
      <c r="FUD136" s="17"/>
      <c r="FUE136" s="17"/>
      <c r="FUF136" s="17"/>
      <c r="FUG136" s="17"/>
      <c r="FUH136" s="17"/>
      <c r="FUI136" s="17"/>
      <c r="FUJ136" s="17"/>
      <c r="FUK136" s="17"/>
      <c r="FUL136" s="17"/>
      <c r="FUM136" s="17"/>
      <c r="FUN136" s="17"/>
      <c r="FUO136" s="17"/>
      <c r="FUP136" s="17"/>
      <c r="FUQ136" s="17"/>
      <c r="FUR136" s="17"/>
      <c r="FUS136" s="17"/>
      <c r="FUT136" s="17"/>
      <c r="FUU136" s="17"/>
      <c r="FUV136" s="17"/>
      <c r="FUW136" s="17"/>
      <c r="FUX136" s="17"/>
      <c r="FUY136" s="17"/>
      <c r="FUZ136" s="17"/>
      <c r="FVA136" s="17"/>
      <c r="FVB136" s="17"/>
      <c r="FVC136" s="17"/>
      <c r="FVD136" s="17"/>
      <c r="FVE136" s="17"/>
      <c r="FVF136" s="17"/>
      <c r="FVG136" s="17"/>
      <c r="FVH136" s="17"/>
      <c r="FVI136" s="17"/>
      <c r="FVJ136" s="17"/>
      <c r="FVK136" s="17"/>
      <c r="FVL136" s="17"/>
      <c r="FVM136" s="17"/>
      <c r="FVN136" s="17"/>
      <c r="FVO136" s="17"/>
      <c r="FVP136" s="17"/>
      <c r="FVQ136" s="17"/>
      <c r="FVR136" s="17"/>
      <c r="FVS136" s="17"/>
      <c r="FVT136" s="17"/>
      <c r="FVU136" s="17"/>
      <c r="FVV136" s="17"/>
      <c r="FVW136" s="17"/>
      <c r="FVX136" s="17"/>
      <c r="FVY136" s="17"/>
      <c r="FVZ136" s="17"/>
      <c r="FWA136" s="17"/>
      <c r="FWB136" s="17"/>
      <c r="FWC136" s="17"/>
      <c r="FWD136" s="17"/>
      <c r="FWE136" s="17"/>
      <c r="FWF136" s="17"/>
      <c r="FWG136" s="17"/>
      <c r="FWH136" s="17"/>
      <c r="FWI136" s="17"/>
      <c r="FWJ136" s="17"/>
      <c r="FWK136" s="17"/>
      <c r="FWL136" s="17"/>
      <c r="FWM136" s="17"/>
      <c r="FWN136" s="17"/>
      <c r="FWO136" s="17"/>
      <c r="FWP136" s="17"/>
      <c r="FWQ136" s="17"/>
      <c r="FWR136" s="17"/>
      <c r="FWS136" s="17"/>
      <c r="FWT136" s="17"/>
      <c r="FWU136" s="17"/>
      <c r="FWV136" s="17"/>
      <c r="FWW136" s="17"/>
      <c r="FWX136" s="17"/>
      <c r="FWY136" s="17"/>
      <c r="FWZ136" s="17"/>
      <c r="FXA136" s="17"/>
      <c r="FXB136" s="17"/>
      <c r="FXC136" s="17"/>
      <c r="FXD136" s="17"/>
      <c r="FXE136" s="17"/>
      <c r="FXF136" s="17"/>
      <c r="FXG136" s="17"/>
      <c r="FXH136" s="17"/>
      <c r="FXI136" s="17"/>
      <c r="FXJ136" s="17"/>
      <c r="FXK136" s="17"/>
      <c r="FXL136" s="17"/>
      <c r="FXM136" s="17"/>
      <c r="FXN136" s="17"/>
      <c r="FXO136" s="17"/>
      <c r="FXP136" s="17"/>
      <c r="FXQ136" s="17"/>
      <c r="FXR136" s="17"/>
      <c r="FXS136" s="17"/>
      <c r="FXT136" s="17"/>
      <c r="FXU136" s="17"/>
      <c r="FXV136" s="17"/>
      <c r="FXW136" s="17"/>
      <c r="FXX136" s="17"/>
      <c r="FXY136" s="17"/>
      <c r="FXZ136" s="17"/>
      <c r="FYA136" s="17"/>
      <c r="FYB136" s="17"/>
      <c r="FYC136" s="17"/>
      <c r="FYD136" s="17"/>
      <c r="FYE136" s="17"/>
      <c r="FYF136" s="17"/>
      <c r="FYG136" s="17"/>
      <c r="FYH136" s="17"/>
      <c r="FYI136" s="17"/>
      <c r="FYJ136" s="17"/>
      <c r="FYK136" s="17"/>
      <c r="FYL136" s="17"/>
      <c r="FYM136" s="17"/>
      <c r="FYN136" s="17"/>
      <c r="FYO136" s="17"/>
      <c r="FYP136" s="17"/>
      <c r="FYQ136" s="17"/>
      <c r="FYR136" s="17"/>
      <c r="FYS136" s="17"/>
      <c r="FYT136" s="17"/>
      <c r="FYU136" s="17"/>
      <c r="FYV136" s="17"/>
      <c r="FYW136" s="17"/>
      <c r="FYX136" s="17"/>
      <c r="FYY136" s="17"/>
      <c r="FYZ136" s="17"/>
      <c r="FZA136" s="17"/>
      <c r="FZB136" s="17"/>
      <c r="FZC136" s="17"/>
      <c r="FZD136" s="17"/>
      <c r="FZE136" s="17"/>
      <c r="FZF136" s="17"/>
      <c r="FZG136" s="17"/>
      <c r="FZH136" s="17"/>
      <c r="FZI136" s="17"/>
      <c r="FZJ136" s="17"/>
      <c r="FZK136" s="17"/>
      <c r="FZL136" s="17"/>
      <c r="FZM136" s="17"/>
      <c r="FZN136" s="17"/>
      <c r="FZO136" s="17"/>
      <c r="FZP136" s="17"/>
      <c r="FZQ136" s="17"/>
      <c r="FZR136" s="17"/>
      <c r="FZS136" s="17"/>
      <c r="FZT136" s="17"/>
      <c r="FZU136" s="17"/>
      <c r="FZV136" s="17"/>
      <c r="FZW136" s="17"/>
      <c r="FZX136" s="17"/>
      <c r="FZY136" s="17"/>
      <c r="FZZ136" s="17"/>
      <c r="GAA136" s="17"/>
      <c r="GAB136" s="17"/>
      <c r="GAC136" s="17"/>
      <c r="GAD136" s="17"/>
      <c r="GAE136" s="17"/>
      <c r="GAF136" s="17"/>
      <c r="GAG136" s="17"/>
      <c r="GAH136" s="17"/>
      <c r="GAI136" s="17"/>
      <c r="GAJ136" s="17"/>
      <c r="GAK136" s="17"/>
      <c r="GAL136" s="17"/>
      <c r="GAM136" s="17"/>
      <c r="GAN136" s="17"/>
      <c r="GAO136" s="17"/>
      <c r="GAP136" s="17"/>
      <c r="GAQ136" s="17"/>
      <c r="GAR136" s="17"/>
      <c r="GAS136" s="17"/>
      <c r="GAT136" s="17"/>
      <c r="GAU136" s="17"/>
      <c r="GAV136" s="17"/>
      <c r="GAW136" s="17"/>
      <c r="GAX136" s="17"/>
      <c r="GAY136" s="17"/>
      <c r="GAZ136" s="17"/>
      <c r="GBA136" s="17"/>
      <c r="GBB136" s="17"/>
      <c r="GBC136" s="17"/>
      <c r="GBD136" s="17"/>
      <c r="GBE136" s="17"/>
      <c r="GBF136" s="17"/>
      <c r="GBG136" s="17"/>
      <c r="GBH136" s="17"/>
      <c r="GBI136" s="17"/>
      <c r="GBJ136" s="17"/>
      <c r="GBK136" s="17"/>
      <c r="GBL136" s="17"/>
      <c r="GBM136" s="17"/>
      <c r="GBN136" s="17"/>
      <c r="GBO136" s="17"/>
      <c r="GBP136" s="17"/>
      <c r="GBQ136" s="17"/>
      <c r="GBR136" s="17"/>
      <c r="GBS136" s="17"/>
      <c r="GBT136" s="17"/>
      <c r="GBU136" s="17"/>
      <c r="GBV136" s="17"/>
      <c r="GBW136" s="17"/>
      <c r="GBX136" s="17"/>
      <c r="GBY136" s="17"/>
      <c r="GBZ136" s="17"/>
      <c r="GCA136" s="17"/>
      <c r="GCB136" s="17"/>
      <c r="GCC136" s="17"/>
      <c r="GCD136" s="17"/>
      <c r="GCE136" s="17"/>
      <c r="GCF136" s="17"/>
      <c r="GCG136" s="17"/>
      <c r="GCH136" s="17"/>
      <c r="GCI136" s="17"/>
      <c r="GCJ136" s="17"/>
      <c r="GCK136" s="17"/>
      <c r="GCL136" s="17"/>
      <c r="GCM136" s="17"/>
      <c r="GCN136" s="17"/>
      <c r="GCO136" s="17"/>
      <c r="GCP136" s="17"/>
      <c r="GCQ136" s="17"/>
      <c r="GCR136" s="17"/>
      <c r="GCS136" s="17"/>
      <c r="GCT136" s="17"/>
      <c r="GCU136" s="17"/>
      <c r="GCV136" s="17"/>
      <c r="GCW136" s="17"/>
      <c r="GCX136" s="17"/>
      <c r="GCY136" s="17"/>
      <c r="GCZ136" s="17"/>
      <c r="GDA136" s="17"/>
      <c r="GDB136" s="17"/>
      <c r="GDC136" s="17"/>
      <c r="GDD136" s="17"/>
      <c r="GDE136" s="17"/>
      <c r="GDF136" s="17"/>
      <c r="GDG136" s="17"/>
      <c r="GDH136" s="17"/>
      <c r="GDI136" s="17"/>
      <c r="GDJ136" s="17"/>
      <c r="GDK136" s="17"/>
      <c r="GDL136" s="17"/>
      <c r="GDM136" s="17"/>
      <c r="GDN136" s="17"/>
      <c r="GDO136" s="17"/>
      <c r="GDP136" s="17"/>
      <c r="GDQ136" s="17"/>
      <c r="GDR136" s="17"/>
      <c r="GDS136" s="17"/>
      <c r="GDT136" s="17"/>
      <c r="GDU136" s="17"/>
      <c r="GDV136" s="17"/>
      <c r="GDW136" s="17"/>
      <c r="GDX136" s="17"/>
      <c r="GDY136" s="17"/>
      <c r="GDZ136" s="17"/>
      <c r="GEA136" s="17"/>
      <c r="GEB136" s="17"/>
      <c r="GEC136" s="17"/>
      <c r="GED136" s="17"/>
      <c r="GEE136" s="17"/>
      <c r="GEF136" s="17"/>
      <c r="GEG136" s="17"/>
      <c r="GEH136" s="17"/>
      <c r="GEI136" s="17"/>
      <c r="GEJ136" s="17"/>
      <c r="GEK136" s="17"/>
      <c r="GEL136" s="17"/>
      <c r="GEM136" s="17"/>
      <c r="GEN136" s="17"/>
      <c r="GEO136" s="17"/>
      <c r="GEP136" s="17"/>
      <c r="GEQ136" s="17"/>
      <c r="GER136" s="17"/>
      <c r="GES136" s="17"/>
      <c r="GET136" s="17"/>
      <c r="GEU136" s="17"/>
      <c r="GEV136" s="17"/>
      <c r="GEW136" s="17"/>
      <c r="GEX136" s="17"/>
      <c r="GEY136" s="17"/>
      <c r="GEZ136" s="17"/>
      <c r="GFA136" s="17"/>
      <c r="GFB136" s="17"/>
      <c r="GFC136" s="17"/>
      <c r="GFD136" s="17"/>
      <c r="GFE136" s="17"/>
      <c r="GFF136" s="17"/>
      <c r="GFG136" s="17"/>
      <c r="GFH136" s="17"/>
      <c r="GFI136" s="17"/>
      <c r="GFJ136" s="17"/>
      <c r="GFK136" s="17"/>
      <c r="GFL136" s="17"/>
      <c r="GFM136" s="17"/>
      <c r="GFN136" s="17"/>
      <c r="GFO136" s="17"/>
      <c r="GFP136" s="17"/>
      <c r="GFQ136" s="17"/>
      <c r="GFR136" s="17"/>
      <c r="GFS136" s="17"/>
      <c r="GFT136" s="17"/>
      <c r="GFU136" s="17"/>
      <c r="GFV136" s="17"/>
      <c r="GFW136" s="17"/>
      <c r="GFX136" s="17"/>
      <c r="GFY136" s="17"/>
      <c r="GFZ136" s="17"/>
      <c r="GGA136" s="17"/>
      <c r="GGB136" s="17"/>
      <c r="GGC136" s="17"/>
      <c r="GGD136" s="17"/>
      <c r="GGE136" s="17"/>
      <c r="GGF136" s="17"/>
      <c r="GGG136" s="17"/>
      <c r="GGH136" s="17"/>
      <c r="GGI136" s="17"/>
      <c r="GGJ136" s="17"/>
      <c r="GGK136" s="17"/>
      <c r="GGL136" s="17"/>
      <c r="GGM136" s="17"/>
      <c r="GGN136" s="17"/>
      <c r="GGO136" s="17"/>
      <c r="GGP136" s="17"/>
      <c r="GGQ136" s="17"/>
      <c r="GGR136" s="17"/>
      <c r="GGS136" s="17"/>
      <c r="GGT136" s="17"/>
      <c r="GGU136" s="17"/>
      <c r="GGV136" s="17"/>
      <c r="GGW136" s="17"/>
      <c r="GGX136" s="17"/>
      <c r="GGY136" s="17"/>
      <c r="GGZ136" s="17"/>
      <c r="GHA136" s="17"/>
      <c r="GHB136" s="17"/>
      <c r="GHC136" s="17"/>
      <c r="GHD136" s="17"/>
      <c r="GHE136" s="17"/>
      <c r="GHF136" s="17"/>
      <c r="GHG136" s="17"/>
      <c r="GHH136" s="17"/>
      <c r="GHI136" s="17"/>
      <c r="GHJ136" s="17"/>
      <c r="GHK136" s="17"/>
      <c r="GHL136" s="17"/>
      <c r="GHM136" s="17"/>
      <c r="GHN136" s="17"/>
      <c r="GHO136" s="17"/>
      <c r="GHP136" s="17"/>
      <c r="GHQ136" s="17"/>
      <c r="GHR136" s="17"/>
      <c r="GHS136" s="17"/>
      <c r="GHT136" s="17"/>
      <c r="GHU136" s="17"/>
      <c r="GHV136" s="17"/>
      <c r="GHW136" s="17"/>
      <c r="GHX136" s="17"/>
      <c r="GHY136" s="17"/>
      <c r="GHZ136" s="17"/>
      <c r="GIA136" s="17"/>
      <c r="GIB136" s="17"/>
      <c r="GIC136" s="17"/>
      <c r="GID136" s="17"/>
      <c r="GIE136" s="17"/>
      <c r="GIF136" s="17"/>
      <c r="GIG136" s="17"/>
      <c r="GIH136" s="17"/>
      <c r="GII136" s="17"/>
      <c r="GIJ136" s="17"/>
      <c r="GIK136" s="17"/>
      <c r="GIL136" s="17"/>
      <c r="GIM136" s="17"/>
      <c r="GIN136" s="17"/>
      <c r="GIO136" s="17"/>
      <c r="GIP136" s="17"/>
      <c r="GIQ136" s="17"/>
      <c r="GIR136" s="17"/>
      <c r="GIS136" s="17"/>
      <c r="GIT136" s="17"/>
      <c r="GIU136" s="17"/>
      <c r="GIV136" s="17"/>
      <c r="GIW136" s="17"/>
      <c r="GIX136" s="17"/>
      <c r="GIY136" s="17"/>
      <c r="GIZ136" s="17"/>
      <c r="GJA136" s="17"/>
      <c r="GJB136" s="17"/>
      <c r="GJC136" s="17"/>
      <c r="GJD136" s="17"/>
      <c r="GJE136" s="17"/>
      <c r="GJF136" s="17"/>
      <c r="GJG136" s="17"/>
      <c r="GJH136" s="17"/>
      <c r="GJI136" s="17"/>
      <c r="GJJ136" s="17"/>
      <c r="GJK136" s="17"/>
      <c r="GJL136" s="17"/>
      <c r="GJM136" s="17"/>
      <c r="GJN136" s="17"/>
      <c r="GJO136" s="17"/>
      <c r="GJP136" s="17"/>
      <c r="GJQ136" s="17"/>
      <c r="GJR136" s="17"/>
      <c r="GJS136" s="17"/>
      <c r="GJT136" s="17"/>
      <c r="GJU136" s="17"/>
      <c r="GJV136" s="17"/>
      <c r="GJW136" s="17"/>
      <c r="GJX136" s="17"/>
      <c r="GJY136" s="17"/>
      <c r="GJZ136" s="17"/>
      <c r="GKA136" s="17"/>
      <c r="GKB136" s="17"/>
      <c r="GKC136" s="17"/>
      <c r="GKD136" s="17"/>
      <c r="GKE136" s="17"/>
      <c r="GKF136" s="17"/>
      <c r="GKG136" s="17"/>
      <c r="GKH136" s="17"/>
      <c r="GKI136" s="17"/>
      <c r="GKJ136" s="17"/>
      <c r="GKK136" s="17"/>
      <c r="GKL136" s="17"/>
      <c r="GKM136" s="17"/>
      <c r="GKN136" s="17"/>
      <c r="GKO136" s="17"/>
      <c r="GKP136" s="17"/>
      <c r="GKQ136" s="17"/>
      <c r="GKR136" s="17"/>
      <c r="GKS136" s="17"/>
      <c r="GKT136" s="17"/>
      <c r="GKU136" s="17"/>
      <c r="GKV136" s="17"/>
      <c r="GKW136" s="17"/>
      <c r="GKX136" s="17"/>
      <c r="GKY136" s="17"/>
      <c r="GKZ136" s="17"/>
      <c r="GLA136" s="17"/>
      <c r="GLB136" s="17"/>
      <c r="GLC136" s="17"/>
      <c r="GLD136" s="17"/>
      <c r="GLE136" s="17"/>
      <c r="GLF136" s="17"/>
      <c r="GLG136" s="17"/>
      <c r="GLH136" s="17"/>
      <c r="GLI136" s="17"/>
      <c r="GLJ136" s="17"/>
      <c r="GLK136" s="17"/>
      <c r="GLL136" s="17"/>
      <c r="GLM136" s="17"/>
      <c r="GLN136" s="17"/>
      <c r="GLO136" s="17"/>
      <c r="GLP136" s="17"/>
      <c r="GLQ136" s="17"/>
      <c r="GLR136" s="17"/>
      <c r="GLS136" s="17"/>
      <c r="GLT136" s="17"/>
      <c r="GLU136" s="17"/>
      <c r="GLV136" s="17"/>
      <c r="GLW136" s="17"/>
      <c r="GLX136" s="17"/>
      <c r="GLY136" s="17"/>
      <c r="GLZ136" s="17"/>
      <c r="GMA136" s="17"/>
      <c r="GMB136" s="17"/>
      <c r="GMC136" s="17"/>
      <c r="GMD136" s="17"/>
      <c r="GME136" s="17"/>
      <c r="GMF136" s="17"/>
      <c r="GMG136" s="17"/>
      <c r="GMH136" s="17"/>
      <c r="GMI136" s="17"/>
      <c r="GMJ136" s="17"/>
      <c r="GMK136" s="17"/>
      <c r="GML136" s="17"/>
      <c r="GMM136" s="17"/>
      <c r="GMN136" s="17"/>
      <c r="GMO136" s="17"/>
      <c r="GMP136" s="17"/>
      <c r="GMQ136" s="17"/>
      <c r="GMR136" s="17"/>
      <c r="GMS136" s="17"/>
      <c r="GMT136" s="17"/>
      <c r="GMU136" s="17"/>
      <c r="GMV136" s="17"/>
      <c r="GMW136" s="17"/>
      <c r="GMX136" s="17"/>
      <c r="GMY136" s="17"/>
      <c r="GMZ136" s="17"/>
      <c r="GNA136" s="17"/>
      <c r="GNB136" s="17"/>
      <c r="GNC136" s="17"/>
      <c r="GND136" s="17"/>
      <c r="GNE136" s="17"/>
      <c r="GNF136" s="17"/>
      <c r="GNG136" s="17"/>
      <c r="GNH136" s="17"/>
      <c r="GNI136" s="17"/>
      <c r="GNJ136" s="17"/>
      <c r="GNK136" s="17"/>
      <c r="GNL136" s="17"/>
      <c r="GNM136" s="17"/>
      <c r="GNN136" s="17"/>
      <c r="GNO136" s="17"/>
      <c r="GNP136" s="17"/>
      <c r="GNQ136" s="17"/>
      <c r="GNR136" s="17"/>
      <c r="GNS136" s="17"/>
      <c r="GNT136" s="17"/>
      <c r="GNU136" s="17"/>
      <c r="GNV136" s="17"/>
      <c r="GNW136" s="17"/>
      <c r="GNX136" s="17"/>
      <c r="GNY136" s="17"/>
      <c r="GNZ136" s="17"/>
      <c r="GOA136" s="17"/>
      <c r="GOB136" s="17"/>
      <c r="GOC136" s="17"/>
      <c r="GOD136" s="17"/>
      <c r="GOE136" s="17"/>
      <c r="GOF136" s="17"/>
      <c r="GOG136" s="17"/>
      <c r="GOH136" s="17"/>
      <c r="GOI136" s="17"/>
      <c r="GOJ136" s="17"/>
      <c r="GOK136" s="17"/>
      <c r="GOL136" s="17"/>
      <c r="GOM136" s="17"/>
      <c r="GON136" s="17"/>
      <c r="GOO136" s="17"/>
      <c r="GOP136" s="17"/>
      <c r="GOQ136" s="17"/>
      <c r="GOR136" s="17"/>
      <c r="GOS136" s="17"/>
      <c r="GOT136" s="17"/>
      <c r="GOU136" s="17"/>
      <c r="GOV136" s="17"/>
      <c r="GOW136" s="17"/>
      <c r="GOX136" s="17"/>
      <c r="GOY136" s="17"/>
      <c r="GOZ136" s="17"/>
      <c r="GPA136" s="17"/>
      <c r="GPB136" s="17"/>
      <c r="GPC136" s="17"/>
      <c r="GPD136" s="17"/>
      <c r="GPE136" s="17"/>
      <c r="GPF136" s="17"/>
      <c r="GPG136" s="17"/>
      <c r="GPH136" s="17"/>
      <c r="GPI136" s="17"/>
      <c r="GPJ136" s="17"/>
      <c r="GPK136" s="17"/>
      <c r="GPL136" s="17"/>
      <c r="GPM136" s="17"/>
      <c r="GPN136" s="17"/>
      <c r="GPO136" s="17"/>
      <c r="GPP136" s="17"/>
      <c r="GPQ136" s="17"/>
      <c r="GPR136" s="17"/>
      <c r="GPS136" s="17"/>
      <c r="GPT136" s="17"/>
      <c r="GPU136" s="17"/>
      <c r="GPV136" s="17"/>
      <c r="GPW136" s="17"/>
      <c r="GPX136" s="17"/>
      <c r="GPY136" s="17"/>
      <c r="GPZ136" s="17"/>
      <c r="GQA136" s="17"/>
      <c r="GQB136" s="17"/>
      <c r="GQC136" s="17"/>
      <c r="GQD136" s="17"/>
      <c r="GQE136" s="17"/>
      <c r="GQF136" s="17"/>
      <c r="GQG136" s="17"/>
      <c r="GQH136" s="17"/>
      <c r="GQI136" s="17"/>
      <c r="GQJ136" s="17"/>
      <c r="GQK136" s="17"/>
      <c r="GQL136" s="17"/>
      <c r="GQM136" s="17"/>
      <c r="GQN136" s="17"/>
      <c r="GQO136" s="17"/>
      <c r="GQP136" s="17"/>
      <c r="GQQ136" s="17"/>
      <c r="GQR136" s="17"/>
      <c r="GQS136" s="17"/>
      <c r="GQT136" s="17"/>
      <c r="GQU136" s="17"/>
      <c r="GQV136" s="17"/>
      <c r="GQW136" s="17"/>
      <c r="GQX136" s="17"/>
      <c r="GQY136" s="17"/>
      <c r="GQZ136" s="17"/>
      <c r="GRA136" s="17"/>
      <c r="GRB136" s="17"/>
      <c r="GRC136" s="17"/>
      <c r="GRD136" s="17"/>
      <c r="GRE136" s="17"/>
      <c r="GRF136" s="17"/>
      <c r="GRG136" s="17"/>
      <c r="GRH136" s="17"/>
      <c r="GRI136" s="17"/>
      <c r="GRJ136" s="17"/>
      <c r="GRK136" s="17"/>
      <c r="GRL136" s="17"/>
      <c r="GRM136" s="17"/>
      <c r="GRN136" s="17"/>
      <c r="GRO136" s="17"/>
      <c r="GRP136" s="17"/>
      <c r="GRQ136" s="17"/>
      <c r="GRR136" s="17"/>
      <c r="GRS136" s="17"/>
      <c r="GRT136" s="17"/>
      <c r="GRU136" s="17"/>
      <c r="GRV136" s="17"/>
      <c r="GRW136" s="17"/>
      <c r="GRX136" s="17"/>
      <c r="GRY136" s="17"/>
      <c r="GRZ136" s="17"/>
      <c r="GSA136" s="17"/>
      <c r="GSB136" s="17"/>
      <c r="GSC136" s="17"/>
      <c r="GSD136" s="17"/>
      <c r="GSE136" s="17"/>
      <c r="GSF136" s="17"/>
      <c r="GSG136" s="17"/>
      <c r="GSH136" s="17"/>
      <c r="GSI136" s="17"/>
      <c r="GSJ136" s="17"/>
      <c r="GSK136" s="17"/>
      <c r="GSL136" s="17"/>
      <c r="GSM136" s="17"/>
      <c r="GSN136" s="17"/>
      <c r="GSO136" s="17"/>
      <c r="GSP136" s="17"/>
      <c r="GSQ136" s="17"/>
      <c r="GSR136" s="17"/>
      <c r="GSS136" s="17"/>
      <c r="GST136" s="17"/>
      <c r="GSU136" s="17"/>
      <c r="GSV136" s="17"/>
      <c r="GSW136" s="17"/>
      <c r="GSX136" s="17"/>
      <c r="GSY136" s="17"/>
      <c r="GSZ136" s="17"/>
      <c r="GTA136" s="17"/>
      <c r="GTB136" s="17"/>
      <c r="GTC136" s="17"/>
      <c r="GTD136" s="17"/>
      <c r="GTE136" s="17"/>
      <c r="GTF136" s="17"/>
      <c r="GTG136" s="17"/>
      <c r="GTH136" s="17"/>
      <c r="GTI136" s="17"/>
      <c r="GTJ136" s="17"/>
      <c r="GTK136" s="17"/>
      <c r="GTL136" s="17"/>
      <c r="GTM136" s="17"/>
      <c r="GTN136" s="17"/>
      <c r="GTO136" s="17"/>
      <c r="GTP136" s="17"/>
      <c r="GTQ136" s="17"/>
      <c r="GTR136" s="17"/>
      <c r="GTS136" s="17"/>
      <c r="GTT136" s="17"/>
      <c r="GTU136" s="17"/>
      <c r="GTV136" s="17"/>
      <c r="GTW136" s="17"/>
      <c r="GTX136" s="17"/>
      <c r="GTY136" s="17"/>
      <c r="GTZ136" s="17"/>
      <c r="GUA136" s="17"/>
      <c r="GUB136" s="17"/>
      <c r="GUC136" s="17"/>
      <c r="GUD136" s="17"/>
      <c r="GUE136" s="17"/>
      <c r="GUF136" s="17"/>
      <c r="GUG136" s="17"/>
      <c r="GUH136" s="17"/>
      <c r="GUI136" s="17"/>
      <c r="GUJ136" s="17"/>
      <c r="GUK136" s="17"/>
      <c r="GUL136" s="17"/>
      <c r="GUM136" s="17"/>
      <c r="GUN136" s="17"/>
      <c r="GUO136" s="17"/>
      <c r="GUP136" s="17"/>
      <c r="GUQ136" s="17"/>
      <c r="GUR136" s="17"/>
      <c r="GUS136" s="17"/>
      <c r="GUT136" s="17"/>
      <c r="GUU136" s="17"/>
      <c r="GUV136" s="17"/>
      <c r="GUW136" s="17"/>
      <c r="GUX136" s="17"/>
      <c r="GUY136" s="17"/>
      <c r="GUZ136" s="17"/>
      <c r="GVA136" s="17"/>
      <c r="GVB136" s="17"/>
      <c r="GVC136" s="17"/>
      <c r="GVD136" s="17"/>
      <c r="GVE136" s="17"/>
      <c r="GVF136" s="17"/>
      <c r="GVG136" s="17"/>
      <c r="GVH136" s="17"/>
      <c r="GVI136" s="17"/>
      <c r="GVJ136" s="17"/>
      <c r="GVK136" s="17"/>
      <c r="GVL136" s="17"/>
      <c r="GVM136" s="17"/>
      <c r="GVN136" s="17"/>
      <c r="GVO136" s="17"/>
      <c r="GVP136" s="17"/>
      <c r="GVQ136" s="17"/>
      <c r="GVR136" s="17"/>
      <c r="GVS136" s="17"/>
      <c r="GVT136" s="17"/>
      <c r="GVU136" s="17"/>
      <c r="GVV136" s="17"/>
      <c r="GVW136" s="17"/>
      <c r="GVX136" s="17"/>
      <c r="GVY136" s="17"/>
      <c r="GVZ136" s="17"/>
      <c r="GWA136" s="17"/>
      <c r="GWB136" s="17"/>
      <c r="GWC136" s="17"/>
      <c r="GWD136" s="17"/>
      <c r="GWE136" s="17"/>
      <c r="GWF136" s="17"/>
      <c r="GWG136" s="17"/>
      <c r="GWH136" s="17"/>
      <c r="GWI136" s="17"/>
      <c r="GWJ136" s="17"/>
      <c r="GWK136" s="17"/>
      <c r="GWL136" s="17"/>
      <c r="GWM136" s="17"/>
      <c r="GWN136" s="17"/>
      <c r="GWO136" s="17"/>
      <c r="GWP136" s="17"/>
      <c r="GWQ136" s="17"/>
      <c r="GWR136" s="17"/>
      <c r="GWS136" s="17"/>
      <c r="GWT136" s="17"/>
      <c r="GWU136" s="17"/>
      <c r="GWV136" s="17"/>
      <c r="GWW136" s="17"/>
      <c r="GWX136" s="17"/>
      <c r="GWY136" s="17"/>
      <c r="GWZ136" s="17"/>
      <c r="GXA136" s="17"/>
      <c r="GXB136" s="17"/>
      <c r="GXC136" s="17"/>
      <c r="GXD136" s="17"/>
      <c r="GXE136" s="17"/>
      <c r="GXF136" s="17"/>
      <c r="GXG136" s="17"/>
      <c r="GXH136" s="17"/>
      <c r="GXI136" s="17"/>
      <c r="GXJ136" s="17"/>
      <c r="GXK136" s="17"/>
      <c r="GXL136" s="17"/>
      <c r="GXM136" s="17"/>
      <c r="GXN136" s="17"/>
      <c r="GXO136" s="17"/>
      <c r="GXP136" s="17"/>
      <c r="GXQ136" s="17"/>
      <c r="GXR136" s="17"/>
      <c r="GXS136" s="17"/>
      <c r="GXT136" s="17"/>
      <c r="GXU136" s="17"/>
      <c r="GXV136" s="17"/>
      <c r="GXW136" s="17"/>
      <c r="GXX136" s="17"/>
      <c r="GXY136" s="17"/>
      <c r="GXZ136" s="17"/>
      <c r="GYA136" s="17"/>
      <c r="GYB136" s="17"/>
      <c r="GYC136" s="17"/>
      <c r="GYD136" s="17"/>
      <c r="GYE136" s="17"/>
      <c r="GYF136" s="17"/>
      <c r="GYG136" s="17"/>
      <c r="GYH136" s="17"/>
      <c r="GYI136" s="17"/>
      <c r="GYJ136" s="17"/>
      <c r="GYK136" s="17"/>
      <c r="GYL136" s="17"/>
      <c r="GYM136" s="17"/>
      <c r="GYN136" s="17"/>
      <c r="GYO136" s="17"/>
      <c r="GYP136" s="17"/>
      <c r="GYQ136" s="17"/>
      <c r="GYR136" s="17"/>
      <c r="GYS136" s="17"/>
      <c r="GYT136" s="17"/>
      <c r="GYU136" s="17"/>
      <c r="GYV136" s="17"/>
      <c r="GYW136" s="17"/>
      <c r="GYX136" s="17"/>
      <c r="GYY136" s="17"/>
      <c r="GYZ136" s="17"/>
      <c r="GZA136" s="17"/>
      <c r="GZB136" s="17"/>
      <c r="GZC136" s="17"/>
      <c r="GZD136" s="17"/>
      <c r="GZE136" s="17"/>
      <c r="GZF136" s="17"/>
      <c r="GZG136" s="17"/>
      <c r="GZH136" s="17"/>
      <c r="GZI136" s="17"/>
      <c r="GZJ136" s="17"/>
      <c r="GZK136" s="17"/>
      <c r="GZL136" s="17"/>
      <c r="GZM136" s="17"/>
      <c r="GZN136" s="17"/>
      <c r="GZO136" s="17"/>
      <c r="GZP136" s="17"/>
      <c r="GZQ136" s="17"/>
      <c r="GZR136" s="17"/>
      <c r="GZS136" s="17"/>
      <c r="GZT136" s="17"/>
      <c r="GZU136" s="17"/>
      <c r="GZV136" s="17"/>
      <c r="GZW136" s="17"/>
      <c r="GZX136" s="17"/>
      <c r="GZY136" s="17"/>
      <c r="GZZ136" s="17"/>
      <c r="HAA136" s="17"/>
      <c r="HAB136" s="17"/>
      <c r="HAC136" s="17"/>
      <c r="HAD136" s="17"/>
      <c r="HAE136" s="17"/>
      <c r="HAF136" s="17"/>
      <c r="HAG136" s="17"/>
      <c r="HAH136" s="17"/>
      <c r="HAI136" s="17"/>
      <c r="HAJ136" s="17"/>
      <c r="HAK136" s="17"/>
      <c r="HAL136" s="17"/>
      <c r="HAM136" s="17"/>
      <c r="HAN136" s="17"/>
      <c r="HAO136" s="17"/>
      <c r="HAP136" s="17"/>
      <c r="HAQ136" s="17"/>
      <c r="HAR136" s="17"/>
      <c r="HAS136" s="17"/>
      <c r="HAT136" s="17"/>
      <c r="HAU136" s="17"/>
      <c r="HAV136" s="17"/>
      <c r="HAW136" s="17"/>
      <c r="HAX136" s="17"/>
      <c r="HAY136" s="17"/>
      <c r="HAZ136" s="17"/>
      <c r="HBA136" s="17"/>
      <c r="HBB136" s="17"/>
      <c r="HBC136" s="17"/>
      <c r="HBD136" s="17"/>
      <c r="HBE136" s="17"/>
      <c r="HBF136" s="17"/>
      <c r="HBG136" s="17"/>
      <c r="HBH136" s="17"/>
      <c r="HBI136" s="17"/>
      <c r="HBJ136" s="17"/>
      <c r="HBK136" s="17"/>
      <c r="HBL136" s="17"/>
      <c r="HBM136" s="17"/>
      <c r="HBN136" s="17"/>
      <c r="HBO136" s="17"/>
      <c r="HBP136" s="17"/>
      <c r="HBQ136" s="17"/>
      <c r="HBR136" s="17"/>
      <c r="HBS136" s="17"/>
      <c r="HBT136" s="17"/>
      <c r="HBU136" s="17"/>
      <c r="HBV136" s="17"/>
      <c r="HBW136" s="17"/>
      <c r="HBX136" s="17"/>
      <c r="HBY136" s="17"/>
      <c r="HBZ136" s="17"/>
      <c r="HCA136" s="17"/>
      <c r="HCB136" s="17"/>
      <c r="HCC136" s="17"/>
      <c r="HCD136" s="17"/>
      <c r="HCE136" s="17"/>
      <c r="HCF136" s="17"/>
      <c r="HCG136" s="17"/>
      <c r="HCH136" s="17"/>
      <c r="HCI136" s="17"/>
      <c r="HCJ136" s="17"/>
      <c r="HCK136" s="17"/>
      <c r="HCL136" s="17"/>
      <c r="HCM136" s="17"/>
      <c r="HCN136" s="17"/>
      <c r="HCO136" s="17"/>
      <c r="HCP136" s="17"/>
      <c r="HCQ136" s="17"/>
      <c r="HCR136" s="17"/>
      <c r="HCS136" s="17"/>
      <c r="HCT136" s="17"/>
      <c r="HCU136" s="17"/>
      <c r="HCV136" s="17"/>
      <c r="HCW136" s="17"/>
      <c r="HCX136" s="17"/>
      <c r="HCY136" s="17"/>
      <c r="HCZ136" s="17"/>
      <c r="HDA136" s="17"/>
      <c r="HDB136" s="17"/>
      <c r="HDC136" s="17"/>
      <c r="HDD136" s="17"/>
      <c r="HDE136" s="17"/>
      <c r="HDF136" s="17"/>
      <c r="HDG136" s="17"/>
      <c r="HDH136" s="17"/>
      <c r="HDI136" s="17"/>
      <c r="HDJ136" s="17"/>
      <c r="HDK136" s="17"/>
      <c r="HDL136" s="17"/>
      <c r="HDM136" s="17"/>
      <c r="HDN136" s="17"/>
      <c r="HDO136" s="17"/>
      <c r="HDP136" s="17"/>
      <c r="HDQ136" s="17"/>
      <c r="HDR136" s="17"/>
      <c r="HDS136" s="17"/>
      <c r="HDT136" s="17"/>
      <c r="HDU136" s="17"/>
      <c r="HDV136" s="17"/>
      <c r="HDW136" s="17"/>
      <c r="HDX136" s="17"/>
      <c r="HDY136" s="17"/>
      <c r="HDZ136" s="17"/>
      <c r="HEA136" s="17"/>
      <c r="HEB136" s="17"/>
      <c r="HEC136" s="17"/>
      <c r="HED136" s="17"/>
      <c r="HEE136" s="17"/>
      <c r="HEF136" s="17"/>
      <c r="HEG136" s="17"/>
      <c r="HEH136" s="17"/>
      <c r="HEI136" s="17"/>
      <c r="HEJ136" s="17"/>
      <c r="HEK136" s="17"/>
      <c r="HEL136" s="17"/>
      <c r="HEM136" s="17"/>
      <c r="HEN136" s="17"/>
      <c r="HEO136" s="17"/>
      <c r="HEP136" s="17"/>
      <c r="HEQ136" s="17"/>
      <c r="HER136" s="17"/>
      <c r="HES136" s="17"/>
      <c r="HET136" s="17"/>
      <c r="HEU136" s="17"/>
      <c r="HEV136" s="17"/>
      <c r="HEW136" s="17"/>
      <c r="HEX136" s="17"/>
      <c r="HEY136" s="17"/>
      <c r="HEZ136" s="17"/>
      <c r="HFA136" s="17"/>
      <c r="HFB136" s="17"/>
      <c r="HFC136" s="17"/>
      <c r="HFD136" s="17"/>
      <c r="HFE136" s="17"/>
      <c r="HFF136" s="17"/>
      <c r="HFG136" s="17"/>
      <c r="HFH136" s="17"/>
      <c r="HFI136" s="17"/>
      <c r="HFJ136" s="17"/>
      <c r="HFK136" s="17"/>
      <c r="HFL136" s="17"/>
      <c r="HFM136" s="17"/>
      <c r="HFN136" s="17"/>
      <c r="HFO136" s="17"/>
      <c r="HFP136" s="17"/>
      <c r="HFQ136" s="17"/>
      <c r="HFR136" s="17"/>
      <c r="HFS136" s="17"/>
      <c r="HFT136" s="17"/>
      <c r="HFU136" s="17"/>
      <c r="HFV136" s="17"/>
      <c r="HFW136" s="17"/>
      <c r="HFX136" s="17"/>
      <c r="HFY136" s="17"/>
      <c r="HFZ136" s="17"/>
      <c r="HGA136" s="17"/>
      <c r="HGB136" s="17"/>
      <c r="HGC136" s="17"/>
      <c r="HGD136" s="17"/>
      <c r="HGE136" s="17"/>
      <c r="HGF136" s="17"/>
      <c r="HGG136" s="17"/>
      <c r="HGH136" s="17"/>
      <c r="HGI136" s="17"/>
      <c r="HGJ136" s="17"/>
      <c r="HGK136" s="17"/>
      <c r="HGL136" s="17"/>
      <c r="HGM136" s="17"/>
      <c r="HGN136" s="17"/>
      <c r="HGO136" s="17"/>
      <c r="HGP136" s="17"/>
      <c r="HGQ136" s="17"/>
      <c r="HGR136" s="17"/>
      <c r="HGS136" s="17"/>
      <c r="HGT136" s="17"/>
      <c r="HGU136" s="17"/>
      <c r="HGV136" s="17"/>
      <c r="HGW136" s="17"/>
      <c r="HGX136" s="17"/>
      <c r="HGY136" s="17"/>
      <c r="HGZ136" s="17"/>
      <c r="HHA136" s="17"/>
      <c r="HHB136" s="17"/>
      <c r="HHC136" s="17"/>
      <c r="HHD136" s="17"/>
      <c r="HHE136" s="17"/>
      <c r="HHF136" s="17"/>
      <c r="HHG136" s="17"/>
      <c r="HHH136" s="17"/>
      <c r="HHI136" s="17"/>
      <c r="HHJ136" s="17"/>
      <c r="HHK136" s="17"/>
      <c r="HHL136" s="17"/>
      <c r="HHM136" s="17"/>
      <c r="HHN136" s="17"/>
      <c r="HHO136" s="17"/>
      <c r="HHP136" s="17"/>
      <c r="HHQ136" s="17"/>
      <c r="HHR136" s="17"/>
      <c r="HHS136" s="17"/>
      <c r="HHT136" s="17"/>
      <c r="HHU136" s="17"/>
      <c r="HHV136" s="17"/>
      <c r="HHW136" s="17"/>
      <c r="HHX136" s="17"/>
      <c r="HHY136" s="17"/>
      <c r="HHZ136" s="17"/>
      <c r="HIA136" s="17"/>
      <c r="HIB136" s="17"/>
      <c r="HIC136" s="17"/>
      <c r="HID136" s="17"/>
      <c r="HIE136" s="17"/>
      <c r="HIF136" s="17"/>
      <c r="HIG136" s="17"/>
      <c r="HIH136" s="17"/>
      <c r="HII136" s="17"/>
      <c r="HIJ136" s="17"/>
      <c r="HIK136" s="17"/>
      <c r="HIL136" s="17"/>
      <c r="HIM136" s="17"/>
      <c r="HIN136" s="17"/>
      <c r="HIO136" s="17"/>
      <c r="HIP136" s="17"/>
      <c r="HIQ136" s="17"/>
      <c r="HIR136" s="17"/>
      <c r="HIS136" s="17"/>
      <c r="HIT136" s="17"/>
      <c r="HIU136" s="17"/>
      <c r="HIV136" s="17"/>
      <c r="HIW136" s="17"/>
      <c r="HIX136" s="17"/>
      <c r="HIY136" s="17"/>
      <c r="HIZ136" s="17"/>
      <c r="HJA136" s="17"/>
      <c r="HJB136" s="17"/>
      <c r="HJC136" s="17"/>
      <c r="HJD136" s="17"/>
      <c r="HJE136" s="17"/>
      <c r="HJF136" s="17"/>
      <c r="HJG136" s="17"/>
      <c r="HJH136" s="17"/>
      <c r="HJI136" s="17"/>
      <c r="HJJ136" s="17"/>
      <c r="HJK136" s="17"/>
      <c r="HJL136" s="17"/>
      <c r="HJM136" s="17"/>
      <c r="HJN136" s="17"/>
      <c r="HJO136" s="17"/>
      <c r="HJP136" s="17"/>
      <c r="HJQ136" s="17"/>
      <c r="HJR136" s="17"/>
      <c r="HJS136" s="17"/>
      <c r="HJT136" s="17"/>
      <c r="HJU136" s="17"/>
      <c r="HJV136" s="17"/>
      <c r="HJW136" s="17"/>
      <c r="HJX136" s="17"/>
      <c r="HJY136" s="17"/>
      <c r="HJZ136" s="17"/>
      <c r="HKA136" s="17"/>
      <c r="HKB136" s="17"/>
      <c r="HKC136" s="17"/>
      <c r="HKD136" s="17"/>
      <c r="HKE136" s="17"/>
      <c r="HKF136" s="17"/>
      <c r="HKG136" s="17"/>
      <c r="HKH136" s="17"/>
      <c r="HKI136" s="17"/>
      <c r="HKJ136" s="17"/>
      <c r="HKK136" s="17"/>
      <c r="HKL136" s="17"/>
      <c r="HKM136" s="17"/>
      <c r="HKN136" s="17"/>
      <c r="HKO136" s="17"/>
      <c r="HKP136" s="17"/>
      <c r="HKQ136" s="17"/>
      <c r="HKR136" s="17"/>
      <c r="HKS136" s="17"/>
      <c r="HKT136" s="17"/>
      <c r="HKU136" s="17"/>
      <c r="HKV136" s="17"/>
      <c r="HKW136" s="17"/>
      <c r="HKX136" s="17"/>
      <c r="HKY136" s="17"/>
      <c r="HKZ136" s="17"/>
      <c r="HLA136" s="17"/>
      <c r="HLB136" s="17"/>
      <c r="HLC136" s="17"/>
      <c r="HLD136" s="17"/>
      <c r="HLE136" s="17"/>
      <c r="HLF136" s="17"/>
      <c r="HLG136" s="17"/>
      <c r="HLH136" s="17"/>
      <c r="HLI136" s="17"/>
      <c r="HLJ136" s="17"/>
      <c r="HLK136" s="17"/>
      <c r="HLL136" s="17"/>
      <c r="HLM136" s="17"/>
      <c r="HLN136" s="17"/>
      <c r="HLO136" s="17"/>
      <c r="HLP136" s="17"/>
      <c r="HLQ136" s="17"/>
      <c r="HLR136" s="17"/>
      <c r="HLS136" s="17"/>
      <c r="HLT136" s="17"/>
      <c r="HLU136" s="17"/>
      <c r="HLV136" s="17"/>
      <c r="HLW136" s="17"/>
      <c r="HLX136" s="17"/>
      <c r="HLY136" s="17"/>
      <c r="HLZ136" s="17"/>
      <c r="HMA136" s="17"/>
      <c r="HMB136" s="17"/>
      <c r="HMC136" s="17"/>
      <c r="HMD136" s="17"/>
      <c r="HME136" s="17"/>
      <c r="HMF136" s="17"/>
      <c r="HMG136" s="17"/>
      <c r="HMH136" s="17"/>
      <c r="HMI136" s="17"/>
      <c r="HMJ136" s="17"/>
      <c r="HMK136" s="17"/>
      <c r="HML136" s="17"/>
      <c r="HMM136" s="17"/>
      <c r="HMN136" s="17"/>
      <c r="HMO136" s="17"/>
      <c r="HMP136" s="17"/>
      <c r="HMQ136" s="17"/>
      <c r="HMR136" s="17"/>
      <c r="HMS136" s="17"/>
      <c r="HMT136" s="17"/>
      <c r="HMU136" s="17"/>
      <c r="HMV136" s="17"/>
      <c r="HMW136" s="17"/>
      <c r="HMX136" s="17"/>
      <c r="HMY136" s="17"/>
      <c r="HMZ136" s="17"/>
      <c r="HNA136" s="17"/>
      <c r="HNB136" s="17"/>
      <c r="HNC136" s="17"/>
      <c r="HND136" s="17"/>
      <c r="HNE136" s="17"/>
      <c r="HNF136" s="17"/>
      <c r="HNG136" s="17"/>
      <c r="HNH136" s="17"/>
      <c r="HNI136" s="17"/>
      <c r="HNJ136" s="17"/>
      <c r="HNK136" s="17"/>
      <c r="HNL136" s="17"/>
      <c r="HNM136" s="17"/>
      <c r="HNN136" s="17"/>
      <c r="HNO136" s="17"/>
      <c r="HNP136" s="17"/>
      <c r="HNQ136" s="17"/>
      <c r="HNR136" s="17"/>
      <c r="HNS136" s="17"/>
      <c r="HNT136" s="17"/>
      <c r="HNU136" s="17"/>
      <c r="HNV136" s="17"/>
      <c r="HNW136" s="17"/>
      <c r="HNX136" s="17"/>
      <c r="HNY136" s="17"/>
      <c r="HNZ136" s="17"/>
      <c r="HOA136" s="17"/>
      <c r="HOB136" s="17"/>
      <c r="HOC136" s="17"/>
      <c r="HOD136" s="17"/>
      <c r="HOE136" s="17"/>
      <c r="HOF136" s="17"/>
      <c r="HOG136" s="17"/>
      <c r="HOH136" s="17"/>
      <c r="HOI136" s="17"/>
      <c r="HOJ136" s="17"/>
      <c r="HOK136" s="17"/>
      <c r="HOL136" s="17"/>
      <c r="HOM136" s="17"/>
      <c r="HON136" s="17"/>
      <c r="HOO136" s="17"/>
      <c r="HOP136" s="17"/>
      <c r="HOQ136" s="17"/>
      <c r="HOR136" s="17"/>
      <c r="HOS136" s="17"/>
      <c r="HOT136" s="17"/>
      <c r="HOU136" s="17"/>
      <c r="HOV136" s="17"/>
      <c r="HOW136" s="17"/>
      <c r="HOX136" s="17"/>
      <c r="HOY136" s="17"/>
      <c r="HOZ136" s="17"/>
      <c r="HPA136" s="17"/>
      <c r="HPB136" s="17"/>
      <c r="HPC136" s="17"/>
      <c r="HPD136" s="17"/>
      <c r="HPE136" s="17"/>
      <c r="HPF136" s="17"/>
      <c r="HPG136" s="17"/>
      <c r="HPH136" s="17"/>
      <c r="HPI136" s="17"/>
      <c r="HPJ136" s="17"/>
      <c r="HPK136" s="17"/>
      <c r="HPL136" s="17"/>
      <c r="HPM136" s="17"/>
      <c r="HPN136" s="17"/>
      <c r="HPO136" s="17"/>
      <c r="HPP136" s="17"/>
      <c r="HPQ136" s="17"/>
      <c r="HPR136" s="17"/>
      <c r="HPS136" s="17"/>
      <c r="HPT136" s="17"/>
      <c r="HPU136" s="17"/>
      <c r="HPV136" s="17"/>
      <c r="HPW136" s="17"/>
      <c r="HPX136" s="17"/>
      <c r="HPY136" s="17"/>
      <c r="HPZ136" s="17"/>
      <c r="HQA136" s="17"/>
      <c r="HQB136" s="17"/>
      <c r="HQC136" s="17"/>
      <c r="HQD136" s="17"/>
      <c r="HQE136" s="17"/>
      <c r="HQF136" s="17"/>
      <c r="HQG136" s="17"/>
      <c r="HQH136" s="17"/>
      <c r="HQI136" s="17"/>
      <c r="HQJ136" s="17"/>
      <c r="HQK136" s="17"/>
      <c r="HQL136" s="17"/>
      <c r="HQM136" s="17"/>
      <c r="HQN136" s="17"/>
      <c r="HQO136" s="17"/>
      <c r="HQP136" s="17"/>
      <c r="HQQ136" s="17"/>
      <c r="HQR136" s="17"/>
      <c r="HQS136" s="17"/>
      <c r="HQT136" s="17"/>
      <c r="HQU136" s="17"/>
      <c r="HQV136" s="17"/>
      <c r="HQW136" s="17"/>
      <c r="HQX136" s="17"/>
      <c r="HQY136" s="17"/>
      <c r="HQZ136" s="17"/>
      <c r="HRA136" s="17"/>
      <c r="HRB136" s="17"/>
      <c r="HRC136" s="17"/>
      <c r="HRD136" s="17"/>
      <c r="HRE136" s="17"/>
      <c r="HRF136" s="17"/>
      <c r="HRG136" s="17"/>
      <c r="HRH136" s="17"/>
      <c r="HRI136" s="17"/>
      <c r="HRJ136" s="17"/>
      <c r="HRK136" s="17"/>
      <c r="HRL136" s="17"/>
      <c r="HRM136" s="17"/>
      <c r="HRN136" s="17"/>
      <c r="HRO136" s="17"/>
      <c r="HRP136" s="17"/>
      <c r="HRQ136" s="17"/>
      <c r="HRR136" s="17"/>
      <c r="HRS136" s="17"/>
      <c r="HRT136" s="17"/>
      <c r="HRU136" s="17"/>
      <c r="HRV136" s="17"/>
      <c r="HRW136" s="17"/>
      <c r="HRX136" s="17"/>
      <c r="HRY136" s="17"/>
      <c r="HRZ136" s="17"/>
      <c r="HSA136" s="17"/>
      <c r="HSB136" s="17"/>
      <c r="HSC136" s="17"/>
      <c r="HSD136" s="17"/>
      <c r="HSE136" s="17"/>
      <c r="HSF136" s="17"/>
      <c r="HSG136" s="17"/>
      <c r="HSH136" s="17"/>
      <c r="HSI136" s="17"/>
      <c r="HSJ136" s="17"/>
      <c r="HSK136" s="17"/>
      <c r="HSL136" s="17"/>
      <c r="HSM136" s="17"/>
      <c r="HSN136" s="17"/>
      <c r="HSO136" s="17"/>
      <c r="HSP136" s="17"/>
      <c r="HSQ136" s="17"/>
      <c r="HSR136" s="17"/>
      <c r="HSS136" s="17"/>
      <c r="HST136" s="17"/>
      <c r="HSU136" s="17"/>
      <c r="HSV136" s="17"/>
      <c r="HSW136" s="17"/>
      <c r="HSX136" s="17"/>
      <c r="HSY136" s="17"/>
      <c r="HSZ136" s="17"/>
      <c r="HTA136" s="17"/>
      <c r="HTB136" s="17"/>
      <c r="HTC136" s="17"/>
      <c r="HTD136" s="17"/>
      <c r="HTE136" s="17"/>
      <c r="HTF136" s="17"/>
      <c r="HTG136" s="17"/>
      <c r="HTH136" s="17"/>
      <c r="HTI136" s="17"/>
      <c r="HTJ136" s="17"/>
      <c r="HTK136" s="17"/>
      <c r="HTL136" s="17"/>
      <c r="HTM136" s="17"/>
      <c r="HTN136" s="17"/>
      <c r="HTO136" s="17"/>
      <c r="HTP136" s="17"/>
      <c r="HTQ136" s="17"/>
      <c r="HTR136" s="17"/>
      <c r="HTS136" s="17"/>
      <c r="HTT136" s="17"/>
      <c r="HTU136" s="17"/>
      <c r="HTV136" s="17"/>
      <c r="HTW136" s="17"/>
      <c r="HTX136" s="17"/>
      <c r="HTY136" s="17"/>
      <c r="HTZ136" s="17"/>
      <c r="HUA136" s="17"/>
      <c r="HUB136" s="17"/>
      <c r="HUC136" s="17"/>
      <c r="HUD136" s="17"/>
      <c r="HUE136" s="17"/>
      <c r="HUF136" s="17"/>
      <c r="HUG136" s="17"/>
      <c r="HUH136" s="17"/>
      <c r="HUI136" s="17"/>
      <c r="HUJ136" s="17"/>
      <c r="HUK136" s="17"/>
      <c r="HUL136" s="17"/>
      <c r="HUM136" s="17"/>
      <c r="HUN136" s="17"/>
      <c r="HUO136" s="17"/>
      <c r="HUP136" s="17"/>
      <c r="HUQ136" s="17"/>
      <c r="HUR136" s="17"/>
      <c r="HUS136" s="17"/>
      <c r="HUT136" s="17"/>
      <c r="HUU136" s="17"/>
      <c r="HUV136" s="17"/>
      <c r="HUW136" s="17"/>
      <c r="HUX136" s="17"/>
      <c r="HUY136" s="17"/>
      <c r="HUZ136" s="17"/>
      <c r="HVA136" s="17"/>
      <c r="HVB136" s="17"/>
      <c r="HVC136" s="17"/>
      <c r="HVD136" s="17"/>
      <c r="HVE136" s="17"/>
      <c r="HVF136" s="17"/>
      <c r="HVG136" s="17"/>
      <c r="HVH136" s="17"/>
      <c r="HVI136" s="17"/>
      <c r="HVJ136" s="17"/>
      <c r="HVK136" s="17"/>
      <c r="HVL136" s="17"/>
      <c r="HVM136" s="17"/>
      <c r="HVN136" s="17"/>
      <c r="HVO136" s="17"/>
      <c r="HVP136" s="17"/>
      <c r="HVQ136" s="17"/>
      <c r="HVR136" s="17"/>
      <c r="HVS136" s="17"/>
      <c r="HVT136" s="17"/>
      <c r="HVU136" s="17"/>
      <c r="HVV136" s="17"/>
      <c r="HVW136" s="17"/>
      <c r="HVX136" s="17"/>
      <c r="HVY136" s="17"/>
      <c r="HVZ136" s="17"/>
      <c r="HWA136" s="17"/>
      <c r="HWB136" s="17"/>
      <c r="HWC136" s="17"/>
      <c r="HWD136" s="17"/>
      <c r="HWE136" s="17"/>
      <c r="HWF136" s="17"/>
      <c r="HWG136" s="17"/>
      <c r="HWH136" s="17"/>
      <c r="HWI136" s="17"/>
      <c r="HWJ136" s="17"/>
      <c r="HWK136" s="17"/>
      <c r="HWL136" s="17"/>
      <c r="HWM136" s="17"/>
      <c r="HWN136" s="17"/>
      <c r="HWO136" s="17"/>
      <c r="HWP136" s="17"/>
      <c r="HWQ136" s="17"/>
      <c r="HWR136" s="17"/>
      <c r="HWS136" s="17"/>
      <c r="HWT136" s="17"/>
      <c r="HWU136" s="17"/>
      <c r="HWV136" s="17"/>
      <c r="HWW136" s="17"/>
      <c r="HWX136" s="17"/>
      <c r="HWY136" s="17"/>
      <c r="HWZ136" s="17"/>
      <c r="HXA136" s="17"/>
      <c r="HXB136" s="17"/>
      <c r="HXC136" s="17"/>
      <c r="HXD136" s="17"/>
      <c r="HXE136" s="17"/>
      <c r="HXF136" s="17"/>
      <c r="HXG136" s="17"/>
      <c r="HXH136" s="17"/>
      <c r="HXI136" s="17"/>
      <c r="HXJ136" s="17"/>
      <c r="HXK136" s="17"/>
      <c r="HXL136" s="17"/>
      <c r="HXM136" s="17"/>
      <c r="HXN136" s="17"/>
      <c r="HXO136" s="17"/>
      <c r="HXP136" s="17"/>
      <c r="HXQ136" s="17"/>
      <c r="HXR136" s="17"/>
      <c r="HXS136" s="17"/>
      <c r="HXT136" s="17"/>
      <c r="HXU136" s="17"/>
      <c r="HXV136" s="17"/>
      <c r="HXW136" s="17"/>
      <c r="HXX136" s="17"/>
      <c r="HXY136" s="17"/>
      <c r="HXZ136" s="17"/>
      <c r="HYA136" s="17"/>
      <c r="HYB136" s="17"/>
      <c r="HYC136" s="17"/>
      <c r="HYD136" s="17"/>
      <c r="HYE136" s="17"/>
      <c r="HYF136" s="17"/>
      <c r="HYG136" s="17"/>
      <c r="HYH136" s="17"/>
      <c r="HYI136" s="17"/>
      <c r="HYJ136" s="17"/>
      <c r="HYK136" s="17"/>
      <c r="HYL136" s="17"/>
      <c r="HYM136" s="17"/>
      <c r="HYN136" s="17"/>
      <c r="HYO136" s="17"/>
      <c r="HYP136" s="17"/>
      <c r="HYQ136" s="17"/>
      <c r="HYR136" s="17"/>
      <c r="HYS136" s="17"/>
      <c r="HYT136" s="17"/>
      <c r="HYU136" s="17"/>
      <c r="HYV136" s="17"/>
      <c r="HYW136" s="17"/>
      <c r="HYX136" s="17"/>
      <c r="HYY136" s="17"/>
      <c r="HYZ136" s="17"/>
      <c r="HZA136" s="17"/>
      <c r="HZB136" s="17"/>
      <c r="HZC136" s="17"/>
      <c r="HZD136" s="17"/>
      <c r="HZE136" s="17"/>
      <c r="HZF136" s="17"/>
      <c r="HZG136" s="17"/>
      <c r="HZH136" s="17"/>
      <c r="HZI136" s="17"/>
      <c r="HZJ136" s="17"/>
      <c r="HZK136" s="17"/>
      <c r="HZL136" s="17"/>
      <c r="HZM136" s="17"/>
      <c r="HZN136" s="17"/>
      <c r="HZO136" s="17"/>
      <c r="HZP136" s="17"/>
      <c r="HZQ136" s="17"/>
      <c r="HZR136" s="17"/>
      <c r="HZS136" s="17"/>
      <c r="HZT136" s="17"/>
      <c r="HZU136" s="17"/>
      <c r="HZV136" s="17"/>
      <c r="HZW136" s="17"/>
      <c r="HZX136" s="17"/>
      <c r="HZY136" s="17"/>
      <c r="HZZ136" s="17"/>
      <c r="IAA136" s="17"/>
      <c r="IAB136" s="17"/>
      <c r="IAC136" s="17"/>
      <c r="IAD136" s="17"/>
      <c r="IAE136" s="17"/>
      <c r="IAF136" s="17"/>
      <c r="IAG136" s="17"/>
      <c r="IAH136" s="17"/>
      <c r="IAI136" s="17"/>
      <c r="IAJ136" s="17"/>
      <c r="IAK136" s="17"/>
      <c r="IAL136" s="17"/>
      <c r="IAM136" s="17"/>
      <c r="IAN136" s="17"/>
      <c r="IAO136" s="17"/>
      <c r="IAP136" s="17"/>
      <c r="IAQ136" s="17"/>
      <c r="IAR136" s="17"/>
      <c r="IAS136" s="17"/>
      <c r="IAT136" s="17"/>
      <c r="IAU136" s="17"/>
      <c r="IAV136" s="17"/>
      <c r="IAW136" s="17"/>
      <c r="IAX136" s="17"/>
      <c r="IAY136" s="17"/>
      <c r="IAZ136" s="17"/>
      <c r="IBA136" s="17"/>
      <c r="IBB136" s="17"/>
      <c r="IBC136" s="17"/>
      <c r="IBD136" s="17"/>
      <c r="IBE136" s="17"/>
      <c r="IBF136" s="17"/>
      <c r="IBG136" s="17"/>
      <c r="IBH136" s="17"/>
      <c r="IBI136" s="17"/>
      <c r="IBJ136" s="17"/>
      <c r="IBK136" s="17"/>
      <c r="IBL136" s="17"/>
      <c r="IBM136" s="17"/>
      <c r="IBN136" s="17"/>
      <c r="IBO136" s="17"/>
      <c r="IBP136" s="17"/>
      <c r="IBQ136" s="17"/>
      <c r="IBR136" s="17"/>
      <c r="IBS136" s="17"/>
      <c r="IBT136" s="17"/>
      <c r="IBU136" s="17"/>
      <c r="IBV136" s="17"/>
      <c r="IBW136" s="17"/>
      <c r="IBX136" s="17"/>
      <c r="IBY136" s="17"/>
      <c r="IBZ136" s="17"/>
      <c r="ICA136" s="17"/>
      <c r="ICB136" s="17"/>
      <c r="ICC136" s="17"/>
      <c r="ICD136" s="17"/>
      <c r="ICE136" s="17"/>
      <c r="ICF136" s="17"/>
      <c r="ICG136" s="17"/>
      <c r="ICH136" s="17"/>
      <c r="ICI136" s="17"/>
      <c r="ICJ136" s="17"/>
      <c r="ICK136" s="17"/>
      <c r="ICL136" s="17"/>
      <c r="ICM136" s="17"/>
      <c r="ICN136" s="17"/>
      <c r="ICO136" s="17"/>
      <c r="ICP136" s="17"/>
      <c r="ICQ136" s="17"/>
      <c r="ICR136" s="17"/>
      <c r="ICS136" s="17"/>
      <c r="ICT136" s="17"/>
      <c r="ICU136" s="17"/>
      <c r="ICV136" s="17"/>
      <c r="ICW136" s="17"/>
      <c r="ICX136" s="17"/>
      <c r="ICY136" s="17"/>
      <c r="ICZ136" s="17"/>
      <c r="IDA136" s="17"/>
      <c r="IDB136" s="17"/>
      <c r="IDC136" s="17"/>
      <c r="IDD136" s="17"/>
      <c r="IDE136" s="17"/>
      <c r="IDF136" s="17"/>
      <c r="IDG136" s="17"/>
      <c r="IDH136" s="17"/>
      <c r="IDI136" s="17"/>
      <c r="IDJ136" s="17"/>
      <c r="IDK136" s="17"/>
      <c r="IDL136" s="17"/>
      <c r="IDM136" s="17"/>
      <c r="IDN136" s="17"/>
      <c r="IDO136" s="17"/>
      <c r="IDP136" s="17"/>
      <c r="IDQ136" s="17"/>
      <c r="IDR136" s="17"/>
      <c r="IDS136" s="17"/>
      <c r="IDT136" s="17"/>
      <c r="IDU136" s="17"/>
      <c r="IDV136" s="17"/>
      <c r="IDW136" s="17"/>
      <c r="IDX136" s="17"/>
      <c r="IDY136" s="17"/>
      <c r="IDZ136" s="17"/>
      <c r="IEA136" s="17"/>
      <c r="IEB136" s="17"/>
      <c r="IEC136" s="17"/>
      <c r="IED136" s="17"/>
      <c r="IEE136" s="17"/>
      <c r="IEF136" s="17"/>
      <c r="IEG136" s="17"/>
      <c r="IEH136" s="17"/>
      <c r="IEI136" s="17"/>
      <c r="IEJ136" s="17"/>
      <c r="IEK136" s="17"/>
      <c r="IEL136" s="17"/>
      <c r="IEM136" s="17"/>
      <c r="IEN136" s="17"/>
      <c r="IEO136" s="17"/>
      <c r="IEP136" s="17"/>
      <c r="IEQ136" s="17"/>
      <c r="IER136" s="17"/>
      <c r="IES136" s="17"/>
      <c r="IET136" s="17"/>
      <c r="IEU136" s="17"/>
      <c r="IEV136" s="17"/>
      <c r="IEW136" s="17"/>
      <c r="IEX136" s="17"/>
      <c r="IEY136" s="17"/>
      <c r="IEZ136" s="17"/>
      <c r="IFA136" s="17"/>
      <c r="IFB136" s="17"/>
      <c r="IFC136" s="17"/>
      <c r="IFD136" s="17"/>
      <c r="IFE136" s="17"/>
      <c r="IFF136" s="17"/>
      <c r="IFG136" s="17"/>
      <c r="IFH136" s="17"/>
      <c r="IFI136" s="17"/>
      <c r="IFJ136" s="17"/>
      <c r="IFK136" s="17"/>
      <c r="IFL136" s="17"/>
      <c r="IFM136" s="17"/>
      <c r="IFN136" s="17"/>
      <c r="IFO136" s="17"/>
      <c r="IFP136" s="17"/>
      <c r="IFQ136" s="17"/>
      <c r="IFR136" s="17"/>
      <c r="IFS136" s="17"/>
      <c r="IFT136" s="17"/>
      <c r="IFU136" s="17"/>
      <c r="IFV136" s="17"/>
      <c r="IFW136" s="17"/>
      <c r="IFX136" s="17"/>
      <c r="IFY136" s="17"/>
      <c r="IFZ136" s="17"/>
      <c r="IGA136" s="17"/>
      <c r="IGB136" s="17"/>
      <c r="IGC136" s="17"/>
      <c r="IGD136" s="17"/>
      <c r="IGE136" s="17"/>
      <c r="IGF136" s="17"/>
      <c r="IGG136" s="17"/>
      <c r="IGH136" s="17"/>
      <c r="IGI136" s="17"/>
      <c r="IGJ136" s="17"/>
      <c r="IGK136" s="17"/>
      <c r="IGL136" s="17"/>
      <c r="IGM136" s="17"/>
      <c r="IGN136" s="17"/>
      <c r="IGO136" s="17"/>
      <c r="IGP136" s="17"/>
      <c r="IGQ136" s="17"/>
      <c r="IGR136" s="17"/>
      <c r="IGS136" s="17"/>
      <c r="IGT136" s="17"/>
      <c r="IGU136" s="17"/>
      <c r="IGV136" s="17"/>
      <c r="IGW136" s="17"/>
      <c r="IGX136" s="17"/>
      <c r="IGY136" s="17"/>
      <c r="IGZ136" s="17"/>
      <c r="IHA136" s="17"/>
      <c r="IHB136" s="17"/>
      <c r="IHC136" s="17"/>
      <c r="IHD136" s="17"/>
      <c r="IHE136" s="17"/>
      <c r="IHF136" s="17"/>
      <c r="IHG136" s="17"/>
      <c r="IHH136" s="17"/>
      <c r="IHI136" s="17"/>
      <c r="IHJ136" s="17"/>
      <c r="IHK136" s="17"/>
      <c r="IHL136" s="17"/>
      <c r="IHM136" s="17"/>
      <c r="IHN136" s="17"/>
      <c r="IHO136" s="17"/>
      <c r="IHP136" s="17"/>
      <c r="IHQ136" s="17"/>
      <c r="IHR136" s="17"/>
      <c r="IHS136" s="17"/>
      <c r="IHT136" s="17"/>
      <c r="IHU136" s="17"/>
      <c r="IHV136" s="17"/>
      <c r="IHW136" s="17"/>
      <c r="IHX136" s="17"/>
      <c r="IHY136" s="17"/>
      <c r="IHZ136" s="17"/>
      <c r="IIA136" s="17"/>
      <c r="IIB136" s="17"/>
      <c r="IIC136" s="17"/>
      <c r="IID136" s="17"/>
      <c r="IIE136" s="17"/>
      <c r="IIF136" s="17"/>
      <c r="IIG136" s="17"/>
      <c r="IIH136" s="17"/>
      <c r="III136" s="17"/>
      <c r="IIJ136" s="17"/>
      <c r="IIK136" s="17"/>
      <c r="IIL136" s="17"/>
      <c r="IIM136" s="17"/>
      <c r="IIN136" s="17"/>
      <c r="IIO136" s="17"/>
      <c r="IIP136" s="17"/>
      <c r="IIQ136" s="17"/>
      <c r="IIR136" s="17"/>
      <c r="IIS136" s="17"/>
      <c r="IIT136" s="17"/>
      <c r="IIU136" s="17"/>
      <c r="IIV136" s="17"/>
      <c r="IIW136" s="17"/>
      <c r="IIX136" s="17"/>
      <c r="IIY136" s="17"/>
      <c r="IIZ136" s="17"/>
      <c r="IJA136" s="17"/>
      <c r="IJB136" s="17"/>
      <c r="IJC136" s="17"/>
      <c r="IJD136" s="17"/>
      <c r="IJE136" s="17"/>
      <c r="IJF136" s="17"/>
      <c r="IJG136" s="17"/>
      <c r="IJH136" s="17"/>
      <c r="IJI136" s="17"/>
      <c r="IJJ136" s="17"/>
      <c r="IJK136" s="17"/>
      <c r="IJL136" s="17"/>
      <c r="IJM136" s="17"/>
      <c r="IJN136" s="17"/>
      <c r="IJO136" s="17"/>
      <c r="IJP136" s="17"/>
      <c r="IJQ136" s="17"/>
      <c r="IJR136" s="17"/>
      <c r="IJS136" s="17"/>
      <c r="IJT136" s="17"/>
      <c r="IJU136" s="17"/>
      <c r="IJV136" s="17"/>
      <c r="IJW136" s="17"/>
      <c r="IJX136" s="17"/>
      <c r="IJY136" s="17"/>
      <c r="IJZ136" s="17"/>
      <c r="IKA136" s="17"/>
      <c r="IKB136" s="17"/>
      <c r="IKC136" s="17"/>
      <c r="IKD136" s="17"/>
      <c r="IKE136" s="17"/>
      <c r="IKF136" s="17"/>
      <c r="IKG136" s="17"/>
      <c r="IKH136" s="17"/>
      <c r="IKI136" s="17"/>
      <c r="IKJ136" s="17"/>
      <c r="IKK136" s="17"/>
      <c r="IKL136" s="17"/>
      <c r="IKM136" s="17"/>
      <c r="IKN136" s="17"/>
      <c r="IKO136" s="17"/>
      <c r="IKP136" s="17"/>
      <c r="IKQ136" s="17"/>
      <c r="IKR136" s="17"/>
      <c r="IKS136" s="17"/>
      <c r="IKT136" s="17"/>
      <c r="IKU136" s="17"/>
      <c r="IKV136" s="17"/>
      <c r="IKW136" s="17"/>
      <c r="IKX136" s="17"/>
      <c r="IKY136" s="17"/>
      <c r="IKZ136" s="17"/>
      <c r="ILA136" s="17"/>
      <c r="ILB136" s="17"/>
      <c r="ILC136" s="17"/>
      <c r="ILD136" s="17"/>
      <c r="ILE136" s="17"/>
      <c r="ILF136" s="17"/>
      <c r="ILG136" s="17"/>
      <c r="ILH136" s="17"/>
      <c r="ILI136" s="17"/>
      <c r="ILJ136" s="17"/>
      <c r="ILK136" s="17"/>
      <c r="ILL136" s="17"/>
      <c r="ILM136" s="17"/>
      <c r="ILN136" s="17"/>
      <c r="ILO136" s="17"/>
      <c r="ILP136" s="17"/>
      <c r="ILQ136" s="17"/>
      <c r="ILR136" s="17"/>
      <c r="ILS136" s="17"/>
      <c r="ILT136" s="17"/>
      <c r="ILU136" s="17"/>
      <c r="ILV136" s="17"/>
      <c r="ILW136" s="17"/>
      <c r="ILX136" s="17"/>
      <c r="ILY136" s="17"/>
      <c r="ILZ136" s="17"/>
      <c r="IMA136" s="17"/>
      <c r="IMB136" s="17"/>
      <c r="IMC136" s="17"/>
      <c r="IMD136" s="17"/>
      <c r="IME136" s="17"/>
      <c r="IMF136" s="17"/>
      <c r="IMG136" s="17"/>
      <c r="IMH136" s="17"/>
      <c r="IMI136" s="17"/>
      <c r="IMJ136" s="17"/>
      <c r="IMK136" s="17"/>
      <c r="IML136" s="17"/>
      <c r="IMM136" s="17"/>
      <c r="IMN136" s="17"/>
      <c r="IMO136" s="17"/>
      <c r="IMP136" s="17"/>
      <c r="IMQ136" s="17"/>
      <c r="IMR136" s="17"/>
      <c r="IMS136" s="17"/>
      <c r="IMT136" s="17"/>
      <c r="IMU136" s="17"/>
      <c r="IMV136" s="17"/>
      <c r="IMW136" s="17"/>
      <c r="IMX136" s="17"/>
      <c r="IMY136" s="17"/>
      <c r="IMZ136" s="17"/>
      <c r="INA136" s="17"/>
      <c r="INB136" s="17"/>
      <c r="INC136" s="17"/>
      <c r="IND136" s="17"/>
      <c r="INE136" s="17"/>
      <c r="INF136" s="17"/>
      <c r="ING136" s="17"/>
      <c r="INH136" s="17"/>
      <c r="INI136" s="17"/>
      <c r="INJ136" s="17"/>
      <c r="INK136" s="17"/>
      <c r="INL136" s="17"/>
      <c r="INM136" s="17"/>
      <c r="INN136" s="17"/>
      <c r="INO136" s="17"/>
      <c r="INP136" s="17"/>
      <c r="INQ136" s="17"/>
      <c r="INR136" s="17"/>
      <c r="INS136" s="17"/>
      <c r="INT136" s="17"/>
      <c r="INU136" s="17"/>
      <c r="INV136" s="17"/>
      <c r="INW136" s="17"/>
      <c r="INX136" s="17"/>
      <c r="INY136" s="17"/>
      <c r="INZ136" s="17"/>
      <c r="IOA136" s="17"/>
      <c r="IOB136" s="17"/>
      <c r="IOC136" s="17"/>
      <c r="IOD136" s="17"/>
      <c r="IOE136" s="17"/>
      <c r="IOF136" s="17"/>
      <c r="IOG136" s="17"/>
      <c r="IOH136" s="17"/>
      <c r="IOI136" s="17"/>
      <c r="IOJ136" s="17"/>
      <c r="IOK136" s="17"/>
      <c r="IOL136" s="17"/>
      <c r="IOM136" s="17"/>
      <c r="ION136" s="17"/>
      <c r="IOO136" s="17"/>
      <c r="IOP136" s="17"/>
      <c r="IOQ136" s="17"/>
      <c r="IOR136" s="17"/>
      <c r="IOS136" s="17"/>
      <c r="IOT136" s="17"/>
      <c r="IOU136" s="17"/>
      <c r="IOV136" s="17"/>
      <c r="IOW136" s="17"/>
      <c r="IOX136" s="17"/>
      <c r="IOY136" s="17"/>
      <c r="IOZ136" s="17"/>
      <c r="IPA136" s="17"/>
      <c r="IPB136" s="17"/>
      <c r="IPC136" s="17"/>
      <c r="IPD136" s="17"/>
      <c r="IPE136" s="17"/>
      <c r="IPF136" s="17"/>
      <c r="IPG136" s="17"/>
      <c r="IPH136" s="17"/>
      <c r="IPI136" s="17"/>
      <c r="IPJ136" s="17"/>
      <c r="IPK136" s="17"/>
      <c r="IPL136" s="17"/>
      <c r="IPM136" s="17"/>
      <c r="IPN136" s="17"/>
      <c r="IPO136" s="17"/>
      <c r="IPP136" s="17"/>
      <c r="IPQ136" s="17"/>
      <c r="IPR136" s="17"/>
      <c r="IPS136" s="17"/>
      <c r="IPT136" s="17"/>
      <c r="IPU136" s="17"/>
      <c r="IPV136" s="17"/>
      <c r="IPW136" s="17"/>
      <c r="IPX136" s="17"/>
      <c r="IPY136" s="17"/>
      <c r="IPZ136" s="17"/>
      <c r="IQA136" s="17"/>
      <c r="IQB136" s="17"/>
      <c r="IQC136" s="17"/>
      <c r="IQD136" s="17"/>
      <c r="IQE136" s="17"/>
      <c r="IQF136" s="17"/>
      <c r="IQG136" s="17"/>
      <c r="IQH136" s="17"/>
      <c r="IQI136" s="17"/>
      <c r="IQJ136" s="17"/>
      <c r="IQK136" s="17"/>
      <c r="IQL136" s="17"/>
      <c r="IQM136" s="17"/>
      <c r="IQN136" s="17"/>
      <c r="IQO136" s="17"/>
      <c r="IQP136" s="17"/>
      <c r="IQQ136" s="17"/>
      <c r="IQR136" s="17"/>
      <c r="IQS136" s="17"/>
      <c r="IQT136" s="17"/>
      <c r="IQU136" s="17"/>
      <c r="IQV136" s="17"/>
      <c r="IQW136" s="17"/>
      <c r="IQX136" s="17"/>
      <c r="IQY136" s="17"/>
      <c r="IQZ136" s="17"/>
      <c r="IRA136" s="17"/>
      <c r="IRB136" s="17"/>
      <c r="IRC136" s="17"/>
      <c r="IRD136" s="17"/>
      <c r="IRE136" s="17"/>
      <c r="IRF136" s="17"/>
      <c r="IRG136" s="17"/>
      <c r="IRH136" s="17"/>
      <c r="IRI136" s="17"/>
      <c r="IRJ136" s="17"/>
      <c r="IRK136" s="17"/>
      <c r="IRL136" s="17"/>
      <c r="IRM136" s="17"/>
      <c r="IRN136" s="17"/>
      <c r="IRO136" s="17"/>
      <c r="IRP136" s="17"/>
      <c r="IRQ136" s="17"/>
      <c r="IRR136" s="17"/>
      <c r="IRS136" s="17"/>
      <c r="IRT136" s="17"/>
      <c r="IRU136" s="17"/>
      <c r="IRV136" s="17"/>
      <c r="IRW136" s="17"/>
      <c r="IRX136" s="17"/>
      <c r="IRY136" s="17"/>
      <c r="IRZ136" s="17"/>
      <c r="ISA136" s="17"/>
      <c r="ISB136" s="17"/>
      <c r="ISC136" s="17"/>
      <c r="ISD136" s="17"/>
      <c r="ISE136" s="17"/>
      <c r="ISF136" s="17"/>
      <c r="ISG136" s="17"/>
      <c r="ISH136" s="17"/>
      <c r="ISI136" s="17"/>
      <c r="ISJ136" s="17"/>
      <c r="ISK136" s="17"/>
      <c r="ISL136" s="17"/>
      <c r="ISM136" s="17"/>
      <c r="ISN136" s="17"/>
      <c r="ISO136" s="17"/>
      <c r="ISP136" s="17"/>
      <c r="ISQ136" s="17"/>
      <c r="ISR136" s="17"/>
      <c r="ISS136" s="17"/>
      <c r="IST136" s="17"/>
      <c r="ISU136" s="17"/>
      <c r="ISV136" s="17"/>
      <c r="ISW136" s="17"/>
      <c r="ISX136" s="17"/>
      <c r="ISY136" s="17"/>
      <c r="ISZ136" s="17"/>
      <c r="ITA136" s="17"/>
      <c r="ITB136" s="17"/>
      <c r="ITC136" s="17"/>
      <c r="ITD136" s="17"/>
      <c r="ITE136" s="17"/>
      <c r="ITF136" s="17"/>
      <c r="ITG136" s="17"/>
      <c r="ITH136" s="17"/>
      <c r="ITI136" s="17"/>
      <c r="ITJ136" s="17"/>
      <c r="ITK136" s="17"/>
      <c r="ITL136" s="17"/>
      <c r="ITM136" s="17"/>
      <c r="ITN136" s="17"/>
      <c r="ITO136" s="17"/>
      <c r="ITP136" s="17"/>
      <c r="ITQ136" s="17"/>
      <c r="ITR136" s="17"/>
      <c r="ITS136" s="17"/>
      <c r="ITT136" s="17"/>
      <c r="ITU136" s="17"/>
      <c r="ITV136" s="17"/>
      <c r="ITW136" s="17"/>
      <c r="ITX136" s="17"/>
      <c r="ITY136" s="17"/>
      <c r="ITZ136" s="17"/>
      <c r="IUA136" s="17"/>
      <c r="IUB136" s="17"/>
      <c r="IUC136" s="17"/>
      <c r="IUD136" s="17"/>
      <c r="IUE136" s="17"/>
      <c r="IUF136" s="17"/>
      <c r="IUG136" s="17"/>
      <c r="IUH136" s="17"/>
      <c r="IUI136" s="17"/>
      <c r="IUJ136" s="17"/>
      <c r="IUK136" s="17"/>
      <c r="IUL136" s="17"/>
      <c r="IUM136" s="17"/>
      <c r="IUN136" s="17"/>
      <c r="IUO136" s="17"/>
      <c r="IUP136" s="17"/>
      <c r="IUQ136" s="17"/>
      <c r="IUR136" s="17"/>
      <c r="IUS136" s="17"/>
      <c r="IUT136" s="17"/>
      <c r="IUU136" s="17"/>
      <c r="IUV136" s="17"/>
      <c r="IUW136" s="17"/>
      <c r="IUX136" s="17"/>
      <c r="IUY136" s="17"/>
      <c r="IUZ136" s="17"/>
      <c r="IVA136" s="17"/>
      <c r="IVB136" s="17"/>
      <c r="IVC136" s="17"/>
      <c r="IVD136" s="17"/>
      <c r="IVE136" s="17"/>
      <c r="IVF136" s="17"/>
      <c r="IVG136" s="17"/>
      <c r="IVH136" s="17"/>
      <c r="IVI136" s="17"/>
      <c r="IVJ136" s="17"/>
      <c r="IVK136" s="17"/>
      <c r="IVL136" s="17"/>
      <c r="IVM136" s="17"/>
      <c r="IVN136" s="17"/>
      <c r="IVO136" s="17"/>
      <c r="IVP136" s="17"/>
      <c r="IVQ136" s="17"/>
      <c r="IVR136" s="17"/>
      <c r="IVS136" s="17"/>
      <c r="IVT136" s="17"/>
      <c r="IVU136" s="17"/>
      <c r="IVV136" s="17"/>
      <c r="IVW136" s="17"/>
      <c r="IVX136" s="17"/>
      <c r="IVY136" s="17"/>
      <c r="IVZ136" s="17"/>
      <c r="IWA136" s="17"/>
      <c r="IWB136" s="17"/>
      <c r="IWC136" s="17"/>
      <c r="IWD136" s="17"/>
      <c r="IWE136" s="17"/>
      <c r="IWF136" s="17"/>
      <c r="IWG136" s="17"/>
      <c r="IWH136" s="17"/>
      <c r="IWI136" s="17"/>
      <c r="IWJ136" s="17"/>
      <c r="IWK136" s="17"/>
      <c r="IWL136" s="17"/>
      <c r="IWM136" s="17"/>
      <c r="IWN136" s="17"/>
      <c r="IWO136" s="17"/>
      <c r="IWP136" s="17"/>
      <c r="IWQ136" s="17"/>
      <c r="IWR136" s="17"/>
      <c r="IWS136" s="17"/>
      <c r="IWT136" s="17"/>
      <c r="IWU136" s="17"/>
      <c r="IWV136" s="17"/>
      <c r="IWW136" s="17"/>
      <c r="IWX136" s="17"/>
      <c r="IWY136" s="17"/>
      <c r="IWZ136" s="17"/>
      <c r="IXA136" s="17"/>
      <c r="IXB136" s="17"/>
      <c r="IXC136" s="17"/>
      <c r="IXD136" s="17"/>
      <c r="IXE136" s="17"/>
      <c r="IXF136" s="17"/>
      <c r="IXG136" s="17"/>
      <c r="IXH136" s="17"/>
      <c r="IXI136" s="17"/>
      <c r="IXJ136" s="17"/>
      <c r="IXK136" s="17"/>
      <c r="IXL136" s="17"/>
      <c r="IXM136" s="17"/>
      <c r="IXN136" s="17"/>
      <c r="IXO136" s="17"/>
      <c r="IXP136" s="17"/>
      <c r="IXQ136" s="17"/>
      <c r="IXR136" s="17"/>
      <c r="IXS136" s="17"/>
      <c r="IXT136" s="17"/>
      <c r="IXU136" s="17"/>
      <c r="IXV136" s="17"/>
      <c r="IXW136" s="17"/>
      <c r="IXX136" s="17"/>
      <c r="IXY136" s="17"/>
      <c r="IXZ136" s="17"/>
      <c r="IYA136" s="17"/>
      <c r="IYB136" s="17"/>
      <c r="IYC136" s="17"/>
      <c r="IYD136" s="17"/>
      <c r="IYE136" s="17"/>
      <c r="IYF136" s="17"/>
      <c r="IYG136" s="17"/>
      <c r="IYH136" s="17"/>
      <c r="IYI136" s="17"/>
      <c r="IYJ136" s="17"/>
      <c r="IYK136" s="17"/>
      <c r="IYL136" s="17"/>
      <c r="IYM136" s="17"/>
      <c r="IYN136" s="17"/>
      <c r="IYO136" s="17"/>
      <c r="IYP136" s="17"/>
      <c r="IYQ136" s="17"/>
      <c r="IYR136" s="17"/>
      <c r="IYS136" s="17"/>
      <c r="IYT136" s="17"/>
      <c r="IYU136" s="17"/>
      <c r="IYV136" s="17"/>
      <c r="IYW136" s="17"/>
      <c r="IYX136" s="17"/>
      <c r="IYY136" s="17"/>
      <c r="IYZ136" s="17"/>
      <c r="IZA136" s="17"/>
      <c r="IZB136" s="17"/>
      <c r="IZC136" s="17"/>
      <c r="IZD136" s="17"/>
      <c r="IZE136" s="17"/>
      <c r="IZF136" s="17"/>
      <c r="IZG136" s="17"/>
      <c r="IZH136" s="17"/>
      <c r="IZI136" s="17"/>
      <c r="IZJ136" s="17"/>
      <c r="IZK136" s="17"/>
      <c r="IZL136" s="17"/>
      <c r="IZM136" s="17"/>
      <c r="IZN136" s="17"/>
      <c r="IZO136" s="17"/>
      <c r="IZP136" s="17"/>
      <c r="IZQ136" s="17"/>
      <c r="IZR136" s="17"/>
      <c r="IZS136" s="17"/>
      <c r="IZT136" s="17"/>
      <c r="IZU136" s="17"/>
      <c r="IZV136" s="17"/>
      <c r="IZW136" s="17"/>
      <c r="IZX136" s="17"/>
      <c r="IZY136" s="17"/>
      <c r="IZZ136" s="17"/>
      <c r="JAA136" s="17"/>
      <c r="JAB136" s="17"/>
      <c r="JAC136" s="17"/>
      <c r="JAD136" s="17"/>
      <c r="JAE136" s="17"/>
      <c r="JAF136" s="17"/>
      <c r="JAG136" s="17"/>
      <c r="JAH136" s="17"/>
      <c r="JAI136" s="17"/>
      <c r="JAJ136" s="17"/>
      <c r="JAK136" s="17"/>
      <c r="JAL136" s="17"/>
      <c r="JAM136" s="17"/>
      <c r="JAN136" s="17"/>
      <c r="JAO136" s="17"/>
      <c r="JAP136" s="17"/>
      <c r="JAQ136" s="17"/>
      <c r="JAR136" s="17"/>
      <c r="JAS136" s="17"/>
      <c r="JAT136" s="17"/>
      <c r="JAU136" s="17"/>
      <c r="JAV136" s="17"/>
      <c r="JAW136" s="17"/>
      <c r="JAX136" s="17"/>
      <c r="JAY136" s="17"/>
      <c r="JAZ136" s="17"/>
      <c r="JBA136" s="17"/>
      <c r="JBB136" s="17"/>
      <c r="JBC136" s="17"/>
      <c r="JBD136" s="17"/>
      <c r="JBE136" s="17"/>
      <c r="JBF136" s="17"/>
      <c r="JBG136" s="17"/>
      <c r="JBH136" s="17"/>
      <c r="JBI136" s="17"/>
      <c r="JBJ136" s="17"/>
      <c r="JBK136" s="17"/>
      <c r="JBL136" s="17"/>
      <c r="JBM136" s="17"/>
      <c r="JBN136" s="17"/>
      <c r="JBO136" s="17"/>
      <c r="JBP136" s="17"/>
      <c r="JBQ136" s="17"/>
      <c r="JBR136" s="17"/>
      <c r="JBS136" s="17"/>
      <c r="JBT136" s="17"/>
      <c r="JBU136" s="17"/>
      <c r="JBV136" s="17"/>
      <c r="JBW136" s="17"/>
      <c r="JBX136" s="17"/>
      <c r="JBY136" s="17"/>
      <c r="JBZ136" s="17"/>
      <c r="JCA136" s="17"/>
      <c r="JCB136" s="17"/>
      <c r="JCC136" s="17"/>
      <c r="JCD136" s="17"/>
      <c r="JCE136" s="17"/>
      <c r="JCF136" s="17"/>
      <c r="JCG136" s="17"/>
      <c r="JCH136" s="17"/>
      <c r="JCI136" s="17"/>
      <c r="JCJ136" s="17"/>
      <c r="JCK136" s="17"/>
      <c r="JCL136" s="17"/>
      <c r="JCM136" s="17"/>
      <c r="JCN136" s="17"/>
      <c r="JCO136" s="17"/>
      <c r="JCP136" s="17"/>
      <c r="JCQ136" s="17"/>
      <c r="JCR136" s="17"/>
      <c r="JCS136" s="17"/>
      <c r="JCT136" s="17"/>
      <c r="JCU136" s="17"/>
      <c r="JCV136" s="17"/>
      <c r="JCW136" s="17"/>
      <c r="JCX136" s="17"/>
      <c r="JCY136" s="17"/>
      <c r="JCZ136" s="17"/>
      <c r="JDA136" s="17"/>
      <c r="JDB136" s="17"/>
      <c r="JDC136" s="17"/>
      <c r="JDD136" s="17"/>
      <c r="JDE136" s="17"/>
      <c r="JDF136" s="17"/>
      <c r="JDG136" s="17"/>
      <c r="JDH136" s="17"/>
      <c r="JDI136" s="17"/>
      <c r="JDJ136" s="17"/>
      <c r="JDK136" s="17"/>
      <c r="JDL136" s="17"/>
      <c r="JDM136" s="17"/>
      <c r="JDN136" s="17"/>
      <c r="JDO136" s="17"/>
      <c r="JDP136" s="17"/>
      <c r="JDQ136" s="17"/>
      <c r="JDR136" s="17"/>
      <c r="JDS136" s="17"/>
      <c r="JDT136" s="17"/>
      <c r="JDU136" s="17"/>
      <c r="JDV136" s="17"/>
      <c r="JDW136" s="17"/>
      <c r="JDX136" s="17"/>
      <c r="JDY136" s="17"/>
      <c r="JDZ136" s="17"/>
      <c r="JEA136" s="17"/>
      <c r="JEB136" s="17"/>
      <c r="JEC136" s="17"/>
      <c r="JED136" s="17"/>
      <c r="JEE136" s="17"/>
      <c r="JEF136" s="17"/>
      <c r="JEG136" s="17"/>
      <c r="JEH136" s="17"/>
      <c r="JEI136" s="17"/>
      <c r="JEJ136" s="17"/>
      <c r="JEK136" s="17"/>
      <c r="JEL136" s="17"/>
      <c r="JEM136" s="17"/>
      <c r="JEN136" s="17"/>
      <c r="JEO136" s="17"/>
      <c r="JEP136" s="17"/>
      <c r="JEQ136" s="17"/>
      <c r="JER136" s="17"/>
      <c r="JES136" s="17"/>
      <c r="JET136" s="17"/>
      <c r="JEU136" s="17"/>
      <c r="JEV136" s="17"/>
      <c r="JEW136" s="17"/>
      <c r="JEX136" s="17"/>
      <c r="JEY136" s="17"/>
      <c r="JEZ136" s="17"/>
      <c r="JFA136" s="17"/>
      <c r="JFB136" s="17"/>
      <c r="JFC136" s="17"/>
      <c r="JFD136" s="17"/>
      <c r="JFE136" s="17"/>
      <c r="JFF136" s="17"/>
      <c r="JFG136" s="17"/>
      <c r="JFH136" s="17"/>
      <c r="JFI136" s="17"/>
      <c r="JFJ136" s="17"/>
      <c r="JFK136" s="17"/>
      <c r="JFL136" s="17"/>
      <c r="JFM136" s="17"/>
      <c r="JFN136" s="17"/>
      <c r="JFO136" s="17"/>
      <c r="JFP136" s="17"/>
      <c r="JFQ136" s="17"/>
      <c r="JFR136" s="17"/>
      <c r="JFS136" s="17"/>
      <c r="JFT136" s="17"/>
      <c r="JFU136" s="17"/>
      <c r="JFV136" s="17"/>
      <c r="JFW136" s="17"/>
      <c r="JFX136" s="17"/>
      <c r="JFY136" s="17"/>
      <c r="JFZ136" s="17"/>
      <c r="JGA136" s="17"/>
      <c r="JGB136" s="17"/>
      <c r="JGC136" s="17"/>
      <c r="JGD136" s="17"/>
      <c r="JGE136" s="17"/>
      <c r="JGF136" s="17"/>
      <c r="JGG136" s="17"/>
      <c r="JGH136" s="17"/>
      <c r="JGI136" s="17"/>
      <c r="JGJ136" s="17"/>
      <c r="JGK136" s="17"/>
      <c r="JGL136" s="17"/>
      <c r="JGM136" s="17"/>
      <c r="JGN136" s="17"/>
      <c r="JGO136" s="17"/>
      <c r="JGP136" s="17"/>
      <c r="JGQ136" s="17"/>
      <c r="JGR136" s="17"/>
      <c r="JGS136" s="17"/>
      <c r="JGT136" s="17"/>
      <c r="JGU136" s="17"/>
      <c r="JGV136" s="17"/>
      <c r="JGW136" s="17"/>
      <c r="JGX136" s="17"/>
      <c r="JGY136" s="17"/>
      <c r="JGZ136" s="17"/>
      <c r="JHA136" s="17"/>
      <c r="JHB136" s="17"/>
      <c r="JHC136" s="17"/>
      <c r="JHD136" s="17"/>
      <c r="JHE136" s="17"/>
      <c r="JHF136" s="17"/>
      <c r="JHG136" s="17"/>
      <c r="JHH136" s="17"/>
      <c r="JHI136" s="17"/>
      <c r="JHJ136" s="17"/>
      <c r="JHK136" s="17"/>
      <c r="JHL136" s="17"/>
      <c r="JHM136" s="17"/>
      <c r="JHN136" s="17"/>
      <c r="JHO136" s="17"/>
      <c r="JHP136" s="17"/>
      <c r="JHQ136" s="17"/>
      <c r="JHR136" s="17"/>
      <c r="JHS136" s="17"/>
      <c r="JHT136" s="17"/>
      <c r="JHU136" s="17"/>
      <c r="JHV136" s="17"/>
      <c r="JHW136" s="17"/>
      <c r="JHX136" s="17"/>
      <c r="JHY136" s="17"/>
      <c r="JHZ136" s="17"/>
      <c r="JIA136" s="17"/>
      <c r="JIB136" s="17"/>
      <c r="JIC136" s="17"/>
      <c r="JID136" s="17"/>
      <c r="JIE136" s="17"/>
      <c r="JIF136" s="17"/>
      <c r="JIG136" s="17"/>
      <c r="JIH136" s="17"/>
      <c r="JII136" s="17"/>
      <c r="JIJ136" s="17"/>
      <c r="JIK136" s="17"/>
      <c r="JIL136" s="17"/>
      <c r="JIM136" s="17"/>
      <c r="JIN136" s="17"/>
      <c r="JIO136" s="17"/>
      <c r="JIP136" s="17"/>
      <c r="JIQ136" s="17"/>
      <c r="JIR136" s="17"/>
      <c r="JIS136" s="17"/>
      <c r="JIT136" s="17"/>
      <c r="JIU136" s="17"/>
      <c r="JIV136" s="17"/>
      <c r="JIW136" s="17"/>
      <c r="JIX136" s="17"/>
      <c r="JIY136" s="17"/>
      <c r="JIZ136" s="17"/>
      <c r="JJA136" s="17"/>
      <c r="JJB136" s="17"/>
      <c r="JJC136" s="17"/>
      <c r="JJD136" s="17"/>
      <c r="JJE136" s="17"/>
      <c r="JJF136" s="17"/>
      <c r="JJG136" s="17"/>
      <c r="JJH136" s="17"/>
      <c r="JJI136" s="17"/>
      <c r="JJJ136" s="17"/>
      <c r="JJK136" s="17"/>
      <c r="JJL136" s="17"/>
      <c r="JJM136" s="17"/>
      <c r="JJN136" s="17"/>
      <c r="JJO136" s="17"/>
      <c r="JJP136" s="17"/>
      <c r="JJQ136" s="17"/>
      <c r="JJR136" s="17"/>
      <c r="JJS136" s="17"/>
      <c r="JJT136" s="17"/>
      <c r="JJU136" s="17"/>
      <c r="JJV136" s="17"/>
      <c r="JJW136" s="17"/>
      <c r="JJX136" s="17"/>
      <c r="JJY136" s="17"/>
      <c r="JJZ136" s="17"/>
      <c r="JKA136" s="17"/>
      <c r="JKB136" s="17"/>
      <c r="JKC136" s="17"/>
      <c r="JKD136" s="17"/>
      <c r="JKE136" s="17"/>
      <c r="JKF136" s="17"/>
      <c r="JKG136" s="17"/>
      <c r="JKH136" s="17"/>
      <c r="JKI136" s="17"/>
      <c r="JKJ136" s="17"/>
      <c r="JKK136" s="17"/>
      <c r="JKL136" s="17"/>
      <c r="JKM136" s="17"/>
      <c r="JKN136" s="17"/>
      <c r="JKO136" s="17"/>
      <c r="JKP136" s="17"/>
      <c r="JKQ136" s="17"/>
      <c r="JKR136" s="17"/>
      <c r="JKS136" s="17"/>
      <c r="JKT136" s="17"/>
      <c r="JKU136" s="17"/>
      <c r="JKV136" s="17"/>
      <c r="JKW136" s="17"/>
      <c r="JKX136" s="17"/>
      <c r="JKY136" s="17"/>
      <c r="JKZ136" s="17"/>
      <c r="JLA136" s="17"/>
      <c r="JLB136" s="17"/>
      <c r="JLC136" s="17"/>
      <c r="JLD136" s="17"/>
      <c r="JLE136" s="17"/>
      <c r="JLF136" s="17"/>
      <c r="JLG136" s="17"/>
      <c r="JLH136" s="17"/>
      <c r="JLI136" s="17"/>
      <c r="JLJ136" s="17"/>
      <c r="JLK136" s="17"/>
      <c r="JLL136" s="17"/>
      <c r="JLM136" s="17"/>
      <c r="JLN136" s="17"/>
      <c r="JLO136" s="17"/>
      <c r="JLP136" s="17"/>
      <c r="JLQ136" s="17"/>
      <c r="JLR136" s="17"/>
      <c r="JLS136" s="17"/>
      <c r="JLT136" s="17"/>
      <c r="JLU136" s="17"/>
      <c r="JLV136" s="17"/>
      <c r="JLW136" s="17"/>
      <c r="JLX136" s="17"/>
      <c r="JLY136" s="17"/>
      <c r="JLZ136" s="17"/>
      <c r="JMA136" s="17"/>
      <c r="JMB136" s="17"/>
      <c r="JMC136" s="17"/>
      <c r="JMD136" s="17"/>
      <c r="JME136" s="17"/>
      <c r="JMF136" s="17"/>
      <c r="JMG136" s="17"/>
      <c r="JMH136" s="17"/>
      <c r="JMI136" s="17"/>
      <c r="JMJ136" s="17"/>
      <c r="JMK136" s="17"/>
      <c r="JML136" s="17"/>
      <c r="JMM136" s="17"/>
      <c r="JMN136" s="17"/>
      <c r="JMO136" s="17"/>
      <c r="JMP136" s="17"/>
      <c r="JMQ136" s="17"/>
      <c r="JMR136" s="17"/>
      <c r="JMS136" s="17"/>
      <c r="JMT136" s="17"/>
      <c r="JMU136" s="17"/>
      <c r="JMV136" s="17"/>
      <c r="JMW136" s="17"/>
      <c r="JMX136" s="17"/>
      <c r="JMY136" s="17"/>
      <c r="JMZ136" s="17"/>
      <c r="JNA136" s="17"/>
      <c r="JNB136" s="17"/>
      <c r="JNC136" s="17"/>
      <c r="JND136" s="17"/>
      <c r="JNE136" s="17"/>
      <c r="JNF136" s="17"/>
      <c r="JNG136" s="17"/>
      <c r="JNH136" s="17"/>
      <c r="JNI136" s="17"/>
      <c r="JNJ136" s="17"/>
      <c r="JNK136" s="17"/>
      <c r="JNL136" s="17"/>
      <c r="JNM136" s="17"/>
      <c r="JNN136" s="17"/>
      <c r="JNO136" s="17"/>
      <c r="JNP136" s="17"/>
      <c r="JNQ136" s="17"/>
      <c r="JNR136" s="17"/>
      <c r="JNS136" s="17"/>
      <c r="JNT136" s="17"/>
      <c r="JNU136" s="17"/>
      <c r="JNV136" s="17"/>
      <c r="JNW136" s="17"/>
      <c r="JNX136" s="17"/>
      <c r="JNY136" s="17"/>
      <c r="JNZ136" s="17"/>
      <c r="JOA136" s="17"/>
      <c r="JOB136" s="17"/>
      <c r="JOC136" s="17"/>
      <c r="JOD136" s="17"/>
      <c r="JOE136" s="17"/>
      <c r="JOF136" s="17"/>
      <c r="JOG136" s="17"/>
      <c r="JOH136" s="17"/>
      <c r="JOI136" s="17"/>
      <c r="JOJ136" s="17"/>
      <c r="JOK136" s="17"/>
      <c r="JOL136" s="17"/>
      <c r="JOM136" s="17"/>
      <c r="JON136" s="17"/>
      <c r="JOO136" s="17"/>
      <c r="JOP136" s="17"/>
      <c r="JOQ136" s="17"/>
      <c r="JOR136" s="17"/>
      <c r="JOS136" s="17"/>
      <c r="JOT136" s="17"/>
      <c r="JOU136" s="17"/>
      <c r="JOV136" s="17"/>
      <c r="JOW136" s="17"/>
      <c r="JOX136" s="17"/>
      <c r="JOY136" s="17"/>
      <c r="JOZ136" s="17"/>
      <c r="JPA136" s="17"/>
      <c r="JPB136" s="17"/>
      <c r="JPC136" s="17"/>
      <c r="JPD136" s="17"/>
      <c r="JPE136" s="17"/>
      <c r="JPF136" s="17"/>
      <c r="JPG136" s="17"/>
      <c r="JPH136" s="17"/>
      <c r="JPI136" s="17"/>
      <c r="JPJ136" s="17"/>
      <c r="JPK136" s="17"/>
      <c r="JPL136" s="17"/>
      <c r="JPM136" s="17"/>
      <c r="JPN136" s="17"/>
      <c r="JPO136" s="17"/>
      <c r="JPP136" s="17"/>
      <c r="JPQ136" s="17"/>
      <c r="JPR136" s="17"/>
      <c r="JPS136" s="17"/>
      <c r="JPT136" s="17"/>
      <c r="JPU136" s="17"/>
      <c r="JPV136" s="17"/>
      <c r="JPW136" s="17"/>
      <c r="JPX136" s="17"/>
      <c r="JPY136" s="17"/>
      <c r="JPZ136" s="17"/>
      <c r="JQA136" s="17"/>
      <c r="JQB136" s="17"/>
      <c r="JQC136" s="17"/>
      <c r="JQD136" s="17"/>
      <c r="JQE136" s="17"/>
      <c r="JQF136" s="17"/>
      <c r="JQG136" s="17"/>
      <c r="JQH136" s="17"/>
      <c r="JQI136" s="17"/>
      <c r="JQJ136" s="17"/>
      <c r="JQK136" s="17"/>
      <c r="JQL136" s="17"/>
      <c r="JQM136" s="17"/>
      <c r="JQN136" s="17"/>
      <c r="JQO136" s="17"/>
      <c r="JQP136" s="17"/>
      <c r="JQQ136" s="17"/>
      <c r="JQR136" s="17"/>
      <c r="JQS136" s="17"/>
      <c r="JQT136" s="17"/>
      <c r="JQU136" s="17"/>
      <c r="JQV136" s="17"/>
      <c r="JQW136" s="17"/>
      <c r="JQX136" s="17"/>
      <c r="JQY136" s="17"/>
      <c r="JQZ136" s="17"/>
      <c r="JRA136" s="17"/>
      <c r="JRB136" s="17"/>
      <c r="JRC136" s="17"/>
      <c r="JRD136" s="17"/>
      <c r="JRE136" s="17"/>
      <c r="JRF136" s="17"/>
      <c r="JRG136" s="17"/>
      <c r="JRH136" s="17"/>
      <c r="JRI136" s="17"/>
      <c r="JRJ136" s="17"/>
      <c r="JRK136" s="17"/>
      <c r="JRL136" s="17"/>
      <c r="JRM136" s="17"/>
      <c r="JRN136" s="17"/>
      <c r="JRO136" s="17"/>
      <c r="JRP136" s="17"/>
      <c r="JRQ136" s="17"/>
      <c r="JRR136" s="17"/>
      <c r="JRS136" s="17"/>
      <c r="JRT136" s="17"/>
      <c r="JRU136" s="17"/>
      <c r="JRV136" s="17"/>
      <c r="JRW136" s="17"/>
      <c r="JRX136" s="17"/>
      <c r="JRY136" s="17"/>
      <c r="JRZ136" s="17"/>
      <c r="JSA136" s="17"/>
      <c r="JSB136" s="17"/>
      <c r="JSC136" s="17"/>
      <c r="JSD136" s="17"/>
      <c r="JSE136" s="17"/>
      <c r="JSF136" s="17"/>
      <c r="JSG136" s="17"/>
      <c r="JSH136" s="17"/>
      <c r="JSI136" s="17"/>
      <c r="JSJ136" s="17"/>
      <c r="JSK136" s="17"/>
      <c r="JSL136" s="17"/>
      <c r="JSM136" s="17"/>
      <c r="JSN136" s="17"/>
      <c r="JSO136" s="17"/>
      <c r="JSP136" s="17"/>
      <c r="JSQ136" s="17"/>
      <c r="JSR136" s="17"/>
      <c r="JSS136" s="17"/>
      <c r="JST136" s="17"/>
      <c r="JSU136" s="17"/>
      <c r="JSV136" s="17"/>
      <c r="JSW136" s="17"/>
      <c r="JSX136" s="17"/>
      <c r="JSY136" s="17"/>
      <c r="JSZ136" s="17"/>
      <c r="JTA136" s="17"/>
      <c r="JTB136" s="17"/>
      <c r="JTC136" s="17"/>
      <c r="JTD136" s="17"/>
      <c r="JTE136" s="17"/>
      <c r="JTF136" s="17"/>
      <c r="JTG136" s="17"/>
      <c r="JTH136" s="17"/>
      <c r="JTI136" s="17"/>
      <c r="JTJ136" s="17"/>
      <c r="JTK136" s="17"/>
      <c r="JTL136" s="17"/>
      <c r="JTM136" s="17"/>
      <c r="JTN136" s="17"/>
      <c r="JTO136" s="17"/>
      <c r="JTP136" s="17"/>
      <c r="JTQ136" s="17"/>
      <c r="JTR136" s="17"/>
      <c r="JTS136" s="17"/>
      <c r="JTT136" s="17"/>
      <c r="JTU136" s="17"/>
      <c r="JTV136" s="17"/>
      <c r="JTW136" s="17"/>
      <c r="JTX136" s="17"/>
      <c r="JTY136" s="17"/>
      <c r="JTZ136" s="17"/>
      <c r="JUA136" s="17"/>
      <c r="JUB136" s="17"/>
      <c r="JUC136" s="17"/>
      <c r="JUD136" s="17"/>
      <c r="JUE136" s="17"/>
      <c r="JUF136" s="17"/>
      <c r="JUG136" s="17"/>
      <c r="JUH136" s="17"/>
      <c r="JUI136" s="17"/>
      <c r="JUJ136" s="17"/>
      <c r="JUK136" s="17"/>
      <c r="JUL136" s="17"/>
      <c r="JUM136" s="17"/>
      <c r="JUN136" s="17"/>
      <c r="JUO136" s="17"/>
      <c r="JUP136" s="17"/>
      <c r="JUQ136" s="17"/>
      <c r="JUR136" s="17"/>
      <c r="JUS136" s="17"/>
      <c r="JUT136" s="17"/>
      <c r="JUU136" s="17"/>
      <c r="JUV136" s="17"/>
      <c r="JUW136" s="17"/>
      <c r="JUX136" s="17"/>
      <c r="JUY136" s="17"/>
      <c r="JUZ136" s="17"/>
      <c r="JVA136" s="17"/>
      <c r="JVB136" s="17"/>
      <c r="JVC136" s="17"/>
      <c r="JVD136" s="17"/>
      <c r="JVE136" s="17"/>
      <c r="JVF136" s="17"/>
      <c r="JVG136" s="17"/>
      <c r="JVH136" s="17"/>
      <c r="JVI136" s="17"/>
      <c r="JVJ136" s="17"/>
      <c r="JVK136" s="17"/>
      <c r="JVL136" s="17"/>
      <c r="JVM136" s="17"/>
      <c r="JVN136" s="17"/>
      <c r="JVO136" s="17"/>
      <c r="JVP136" s="17"/>
      <c r="JVQ136" s="17"/>
      <c r="JVR136" s="17"/>
      <c r="JVS136" s="17"/>
      <c r="JVT136" s="17"/>
      <c r="JVU136" s="17"/>
      <c r="JVV136" s="17"/>
      <c r="JVW136" s="17"/>
      <c r="JVX136" s="17"/>
      <c r="JVY136" s="17"/>
      <c r="JVZ136" s="17"/>
      <c r="JWA136" s="17"/>
      <c r="JWB136" s="17"/>
      <c r="JWC136" s="17"/>
      <c r="JWD136" s="17"/>
      <c r="JWE136" s="17"/>
      <c r="JWF136" s="17"/>
      <c r="JWG136" s="17"/>
      <c r="JWH136" s="17"/>
      <c r="JWI136" s="17"/>
      <c r="JWJ136" s="17"/>
      <c r="JWK136" s="17"/>
      <c r="JWL136" s="17"/>
      <c r="JWM136" s="17"/>
      <c r="JWN136" s="17"/>
      <c r="JWO136" s="17"/>
      <c r="JWP136" s="17"/>
      <c r="JWQ136" s="17"/>
      <c r="JWR136" s="17"/>
      <c r="JWS136" s="17"/>
      <c r="JWT136" s="17"/>
      <c r="JWU136" s="17"/>
      <c r="JWV136" s="17"/>
      <c r="JWW136" s="17"/>
      <c r="JWX136" s="17"/>
      <c r="JWY136" s="17"/>
      <c r="JWZ136" s="17"/>
      <c r="JXA136" s="17"/>
      <c r="JXB136" s="17"/>
      <c r="JXC136" s="17"/>
      <c r="JXD136" s="17"/>
      <c r="JXE136" s="17"/>
      <c r="JXF136" s="17"/>
      <c r="JXG136" s="17"/>
      <c r="JXH136" s="17"/>
      <c r="JXI136" s="17"/>
      <c r="JXJ136" s="17"/>
      <c r="JXK136" s="17"/>
      <c r="JXL136" s="17"/>
      <c r="JXM136" s="17"/>
      <c r="JXN136" s="17"/>
      <c r="JXO136" s="17"/>
      <c r="JXP136" s="17"/>
      <c r="JXQ136" s="17"/>
      <c r="JXR136" s="17"/>
      <c r="JXS136" s="17"/>
      <c r="JXT136" s="17"/>
      <c r="JXU136" s="17"/>
      <c r="JXV136" s="17"/>
      <c r="JXW136" s="17"/>
      <c r="JXX136" s="17"/>
      <c r="JXY136" s="17"/>
      <c r="JXZ136" s="17"/>
      <c r="JYA136" s="17"/>
      <c r="JYB136" s="17"/>
      <c r="JYC136" s="17"/>
      <c r="JYD136" s="17"/>
      <c r="JYE136" s="17"/>
      <c r="JYF136" s="17"/>
      <c r="JYG136" s="17"/>
      <c r="JYH136" s="17"/>
      <c r="JYI136" s="17"/>
      <c r="JYJ136" s="17"/>
      <c r="JYK136" s="17"/>
      <c r="JYL136" s="17"/>
      <c r="JYM136" s="17"/>
      <c r="JYN136" s="17"/>
      <c r="JYO136" s="17"/>
      <c r="JYP136" s="17"/>
      <c r="JYQ136" s="17"/>
      <c r="JYR136" s="17"/>
      <c r="JYS136" s="17"/>
      <c r="JYT136" s="17"/>
      <c r="JYU136" s="17"/>
      <c r="JYV136" s="17"/>
      <c r="JYW136" s="17"/>
      <c r="JYX136" s="17"/>
      <c r="JYY136" s="17"/>
      <c r="JYZ136" s="17"/>
      <c r="JZA136" s="17"/>
      <c r="JZB136" s="17"/>
      <c r="JZC136" s="17"/>
      <c r="JZD136" s="17"/>
      <c r="JZE136" s="17"/>
      <c r="JZF136" s="17"/>
      <c r="JZG136" s="17"/>
      <c r="JZH136" s="17"/>
      <c r="JZI136" s="17"/>
      <c r="JZJ136" s="17"/>
      <c r="JZK136" s="17"/>
      <c r="JZL136" s="17"/>
      <c r="JZM136" s="17"/>
      <c r="JZN136" s="17"/>
      <c r="JZO136" s="17"/>
      <c r="JZP136" s="17"/>
      <c r="JZQ136" s="17"/>
      <c r="JZR136" s="17"/>
      <c r="JZS136" s="17"/>
      <c r="JZT136" s="17"/>
      <c r="JZU136" s="17"/>
      <c r="JZV136" s="17"/>
      <c r="JZW136" s="17"/>
      <c r="JZX136" s="17"/>
      <c r="JZY136" s="17"/>
      <c r="JZZ136" s="17"/>
      <c r="KAA136" s="17"/>
      <c r="KAB136" s="17"/>
      <c r="KAC136" s="17"/>
      <c r="KAD136" s="17"/>
      <c r="KAE136" s="17"/>
      <c r="KAF136" s="17"/>
      <c r="KAG136" s="17"/>
      <c r="KAH136" s="17"/>
      <c r="KAI136" s="17"/>
      <c r="KAJ136" s="17"/>
      <c r="KAK136" s="17"/>
      <c r="KAL136" s="17"/>
      <c r="KAM136" s="17"/>
      <c r="KAN136" s="17"/>
      <c r="KAO136" s="17"/>
      <c r="KAP136" s="17"/>
      <c r="KAQ136" s="17"/>
      <c r="KAR136" s="17"/>
      <c r="KAS136" s="17"/>
      <c r="KAT136" s="17"/>
      <c r="KAU136" s="17"/>
      <c r="KAV136" s="17"/>
      <c r="KAW136" s="17"/>
      <c r="KAX136" s="17"/>
      <c r="KAY136" s="17"/>
      <c r="KAZ136" s="17"/>
      <c r="KBA136" s="17"/>
      <c r="KBB136" s="17"/>
      <c r="KBC136" s="17"/>
      <c r="KBD136" s="17"/>
      <c r="KBE136" s="17"/>
      <c r="KBF136" s="17"/>
      <c r="KBG136" s="17"/>
      <c r="KBH136" s="17"/>
      <c r="KBI136" s="17"/>
      <c r="KBJ136" s="17"/>
      <c r="KBK136" s="17"/>
      <c r="KBL136" s="17"/>
      <c r="KBM136" s="17"/>
      <c r="KBN136" s="17"/>
      <c r="KBO136" s="17"/>
      <c r="KBP136" s="17"/>
      <c r="KBQ136" s="17"/>
      <c r="KBR136" s="17"/>
      <c r="KBS136" s="17"/>
      <c r="KBT136" s="17"/>
      <c r="KBU136" s="17"/>
      <c r="KBV136" s="17"/>
      <c r="KBW136" s="17"/>
      <c r="KBX136" s="17"/>
      <c r="KBY136" s="17"/>
      <c r="KBZ136" s="17"/>
      <c r="KCA136" s="17"/>
      <c r="KCB136" s="17"/>
      <c r="KCC136" s="17"/>
      <c r="KCD136" s="17"/>
      <c r="KCE136" s="17"/>
      <c r="KCF136" s="17"/>
      <c r="KCG136" s="17"/>
      <c r="KCH136" s="17"/>
      <c r="KCI136" s="17"/>
      <c r="KCJ136" s="17"/>
      <c r="KCK136" s="17"/>
      <c r="KCL136" s="17"/>
      <c r="KCM136" s="17"/>
      <c r="KCN136" s="17"/>
      <c r="KCO136" s="17"/>
      <c r="KCP136" s="17"/>
      <c r="KCQ136" s="17"/>
      <c r="KCR136" s="17"/>
      <c r="KCS136" s="17"/>
      <c r="KCT136" s="17"/>
      <c r="KCU136" s="17"/>
      <c r="KCV136" s="17"/>
      <c r="KCW136" s="17"/>
      <c r="KCX136" s="17"/>
      <c r="KCY136" s="17"/>
      <c r="KCZ136" s="17"/>
      <c r="KDA136" s="17"/>
      <c r="KDB136" s="17"/>
      <c r="KDC136" s="17"/>
      <c r="KDD136" s="17"/>
      <c r="KDE136" s="17"/>
      <c r="KDF136" s="17"/>
      <c r="KDG136" s="17"/>
      <c r="KDH136" s="17"/>
      <c r="KDI136" s="17"/>
      <c r="KDJ136" s="17"/>
      <c r="KDK136" s="17"/>
      <c r="KDL136" s="17"/>
      <c r="KDM136" s="17"/>
      <c r="KDN136" s="17"/>
      <c r="KDO136" s="17"/>
      <c r="KDP136" s="17"/>
      <c r="KDQ136" s="17"/>
      <c r="KDR136" s="17"/>
      <c r="KDS136" s="17"/>
      <c r="KDT136" s="17"/>
      <c r="KDU136" s="17"/>
      <c r="KDV136" s="17"/>
      <c r="KDW136" s="17"/>
      <c r="KDX136" s="17"/>
      <c r="KDY136" s="17"/>
      <c r="KDZ136" s="17"/>
      <c r="KEA136" s="17"/>
      <c r="KEB136" s="17"/>
      <c r="KEC136" s="17"/>
      <c r="KED136" s="17"/>
      <c r="KEE136" s="17"/>
      <c r="KEF136" s="17"/>
      <c r="KEG136" s="17"/>
      <c r="KEH136" s="17"/>
      <c r="KEI136" s="17"/>
      <c r="KEJ136" s="17"/>
      <c r="KEK136" s="17"/>
      <c r="KEL136" s="17"/>
      <c r="KEM136" s="17"/>
      <c r="KEN136" s="17"/>
      <c r="KEO136" s="17"/>
      <c r="KEP136" s="17"/>
      <c r="KEQ136" s="17"/>
      <c r="KER136" s="17"/>
      <c r="KES136" s="17"/>
      <c r="KET136" s="17"/>
      <c r="KEU136" s="17"/>
      <c r="KEV136" s="17"/>
      <c r="KEW136" s="17"/>
      <c r="KEX136" s="17"/>
      <c r="KEY136" s="17"/>
      <c r="KEZ136" s="17"/>
      <c r="KFA136" s="17"/>
      <c r="KFB136" s="17"/>
      <c r="KFC136" s="17"/>
      <c r="KFD136" s="17"/>
      <c r="KFE136" s="17"/>
      <c r="KFF136" s="17"/>
      <c r="KFG136" s="17"/>
      <c r="KFH136" s="17"/>
      <c r="KFI136" s="17"/>
      <c r="KFJ136" s="17"/>
      <c r="KFK136" s="17"/>
      <c r="KFL136" s="17"/>
      <c r="KFM136" s="17"/>
      <c r="KFN136" s="17"/>
      <c r="KFO136" s="17"/>
      <c r="KFP136" s="17"/>
      <c r="KFQ136" s="17"/>
      <c r="KFR136" s="17"/>
      <c r="KFS136" s="17"/>
      <c r="KFT136" s="17"/>
      <c r="KFU136" s="17"/>
      <c r="KFV136" s="17"/>
      <c r="KFW136" s="17"/>
      <c r="KFX136" s="17"/>
      <c r="KFY136" s="17"/>
      <c r="KFZ136" s="17"/>
      <c r="KGA136" s="17"/>
      <c r="KGB136" s="17"/>
      <c r="KGC136" s="17"/>
      <c r="KGD136" s="17"/>
      <c r="KGE136" s="17"/>
      <c r="KGF136" s="17"/>
      <c r="KGG136" s="17"/>
      <c r="KGH136" s="17"/>
      <c r="KGI136" s="17"/>
      <c r="KGJ136" s="17"/>
      <c r="KGK136" s="17"/>
      <c r="KGL136" s="17"/>
      <c r="KGM136" s="17"/>
      <c r="KGN136" s="17"/>
      <c r="KGO136" s="17"/>
      <c r="KGP136" s="17"/>
      <c r="KGQ136" s="17"/>
      <c r="KGR136" s="17"/>
      <c r="KGS136" s="17"/>
      <c r="KGT136" s="17"/>
      <c r="KGU136" s="17"/>
      <c r="KGV136" s="17"/>
      <c r="KGW136" s="17"/>
      <c r="KGX136" s="17"/>
      <c r="KGY136" s="17"/>
      <c r="KGZ136" s="17"/>
      <c r="KHA136" s="17"/>
      <c r="KHB136" s="17"/>
      <c r="KHC136" s="17"/>
      <c r="KHD136" s="17"/>
      <c r="KHE136" s="17"/>
      <c r="KHF136" s="17"/>
      <c r="KHG136" s="17"/>
      <c r="KHH136" s="17"/>
      <c r="KHI136" s="17"/>
      <c r="KHJ136" s="17"/>
      <c r="KHK136" s="17"/>
      <c r="KHL136" s="17"/>
      <c r="KHM136" s="17"/>
      <c r="KHN136" s="17"/>
      <c r="KHO136" s="17"/>
      <c r="KHP136" s="17"/>
      <c r="KHQ136" s="17"/>
      <c r="KHR136" s="17"/>
      <c r="KHS136" s="17"/>
      <c r="KHT136" s="17"/>
      <c r="KHU136" s="17"/>
      <c r="KHV136" s="17"/>
      <c r="KHW136" s="17"/>
      <c r="KHX136" s="17"/>
      <c r="KHY136" s="17"/>
      <c r="KHZ136" s="17"/>
      <c r="KIA136" s="17"/>
      <c r="KIB136" s="17"/>
      <c r="KIC136" s="17"/>
      <c r="KID136" s="17"/>
      <c r="KIE136" s="17"/>
      <c r="KIF136" s="17"/>
      <c r="KIG136" s="17"/>
      <c r="KIH136" s="17"/>
      <c r="KII136" s="17"/>
      <c r="KIJ136" s="17"/>
      <c r="KIK136" s="17"/>
      <c r="KIL136" s="17"/>
      <c r="KIM136" s="17"/>
      <c r="KIN136" s="17"/>
      <c r="KIO136" s="17"/>
      <c r="KIP136" s="17"/>
      <c r="KIQ136" s="17"/>
      <c r="KIR136" s="17"/>
      <c r="KIS136" s="17"/>
      <c r="KIT136" s="17"/>
      <c r="KIU136" s="17"/>
      <c r="KIV136" s="17"/>
      <c r="KIW136" s="17"/>
      <c r="KIX136" s="17"/>
      <c r="KIY136" s="17"/>
      <c r="KIZ136" s="17"/>
      <c r="KJA136" s="17"/>
      <c r="KJB136" s="17"/>
      <c r="KJC136" s="17"/>
      <c r="KJD136" s="17"/>
      <c r="KJE136" s="17"/>
      <c r="KJF136" s="17"/>
      <c r="KJG136" s="17"/>
      <c r="KJH136" s="17"/>
      <c r="KJI136" s="17"/>
      <c r="KJJ136" s="17"/>
      <c r="KJK136" s="17"/>
      <c r="KJL136" s="17"/>
      <c r="KJM136" s="17"/>
      <c r="KJN136" s="17"/>
      <c r="KJO136" s="17"/>
      <c r="KJP136" s="17"/>
      <c r="KJQ136" s="17"/>
      <c r="KJR136" s="17"/>
      <c r="KJS136" s="17"/>
      <c r="KJT136" s="17"/>
      <c r="KJU136" s="17"/>
      <c r="KJV136" s="17"/>
      <c r="KJW136" s="17"/>
      <c r="KJX136" s="17"/>
      <c r="KJY136" s="17"/>
      <c r="KJZ136" s="17"/>
      <c r="KKA136" s="17"/>
      <c r="KKB136" s="17"/>
      <c r="KKC136" s="17"/>
      <c r="KKD136" s="17"/>
      <c r="KKE136" s="17"/>
      <c r="KKF136" s="17"/>
      <c r="KKG136" s="17"/>
      <c r="KKH136" s="17"/>
      <c r="KKI136" s="17"/>
      <c r="KKJ136" s="17"/>
      <c r="KKK136" s="17"/>
      <c r="KKL136" s="17"/>
      <c r="KKM136" s="17"/>
      <c r="KKN136" s="17"/>
      <c r="KKO136" s="17"/>
      <c r="KKP136" s="17"/>
      <c r="KKQ136" s="17"/>
      <c r="KKR136" s="17"/>
      <c r="KKS136" s="17"/>
      <c r="KKT136" s="17"/>
      <c r="KKU136" s="17"/>
      <c r="KKV136" s="17"/>
      <c r="KKW136" s="17"/>
      <c r="KKX136" s="17"/>
      <c r="KKY136" s="17"/>
      <c r="KKZ136" s="17"/>
      <c r="KLA136" s="17"/>
      <c r="KLB136" s="17"/>
      <c r="KLC136" s="17"/>
      <c r="KLD136" s="17"/>
      <c r="KLE136" s="17"/>
      <c r="KLF136" s="17"/>
      <c r="KLG136" s="17"/>
      <c r="KLH136" s="17"/>
      <c r="KLI136" s="17"/>
      <c r="KLJ136" s="17"/>
      <c r="KLK136" s="17"/>
      <c r="KLL136" s="17"/>
      <c r="KLM136" s="17"/>
      <c r="KLN136" s="17"/>
      <c r="KLO136" s="17"/>
      <c r="KLP136" s="17"/>
      <c r="KLQ136" s="17"/>
      <c r="KLR136" s="17"/>
      <c r="KLS136" s="17"/>
      <c r="KLT136" s="17"/>
      <c r="KLU136" s="17"/>
      <c r="KLV136" s="17"/>
      <c r="KLW136" s="17"/>
      <c r="KLX136" s="17"/>
      <c r="KLY136" s="17"/>
      <c r="KLZ136" s="17"/>
      <c r="KMA136" s="17"/>
      <c r="KMB136" s="17"/>
      <c r="KMC136" s="17"/>
      <c r="KMD136" s="17"/>
      <c r="KME136" s="17"/>
      <c r="KMF136" s="17"/>
      <c r="KMG136" s="17"/>
      <c r="KMH136" s="17"/>
      <c r="KMI136" s="17"/>
      <c r="KMJ136" s="17"/>
      <c r="KMK136" s="17"/>
      <c r="KML136" s="17"/>
      <c r="KMM136" s="17"/>
      <c r="KMN136" s="17"/>
      <c r="KMO136" s="17"/>
      <c r="KMP136" s="17"/>
      <c r="KMQ136" s="17"/>
      <c r="KMR136" s="17"/>
      <c r="KMS136" s="17"/>
      <c r="KMT136" s="17"/>
      <c r="KMU136" s="17"/>
      <c r="KMV136" s="17"/>
      <c r="KMW136" s="17"/>
      <c r="KMX136" s="17"/>
      <c r="KMY136" s="17"/>
      <c r="KMZ136" s="17"/>
      <c r="KNA136" s="17"/>
      <c r="KNB136" s="17"/>
      <c r="KNC136" s="17"/>
      <c r="KND136" s="17"/>
      <c r="KNE136" s="17"/>
      <c r="KNF136" s="17"/>
      <c r="KNG136" s="17"/>
      <c r="KNH136" s="17"/>
      <c r="KNI136" s="17"/>
      <c r="KNJ136" s="17"/>
      <c r="KNK136" s="17"/>
      <c r="KNL136" s="17"/>
      <c r="KNM136" s="17"/>
      <c r="KNN136" s="17"/>
      <c r="KNO136" s="17"/>
      <c r="KNP136" s="17"/>
      <c r="KNQ136" s="17"/>
      <c r="KNR136" s="17"/>
      <c r="KNS136" s="17"/>
      <c r="KNT136" s="17"/>
      <c r="KNU136" s="17"/>
      <c r="KNV136" s="17"/>
      <c r="KNW136" s="17"/>
      <c r="KNX136" s="17"/>
      <c r="KNY136" s="17"/>
      <c r="KNZ136" s="17"/>
      <c r="KOA136" s="17"/>
      <c r="KOB136" s="17"/>
      <c r="KOC136" s="17"/>
      <c r="KOD136" s="17"/>
      <c r="KOE136" s="17"/>
      <c r="KOF136" s="17"/>
      <c r="KOG136" s="17"/>
      <c r="KOH136" s="17"/>
      <c r="KOI136" s="17"/>
      <c r="KOJ136" s="17"/>
      <c r="KOK136" s="17"/>
      <c r="KOL136" s="17"/>
      <c r="KOM136" s="17"/>
      <c r="KON136" s="17"/>
      <c r="KOO136" s="17"/>
      <c r="KOP136" s="17"/>
      <c r="KOQ136" s="17"/>
      <c r="KOR136" s="17"/>
      <c r="KOS136" s="17"/>
      <c r="KOT136" s="17"/>
      <c r="KOU136" s="17"/>
      <c r="KOV136" s="17"/>
      <c r="KOW136" s="17"/>
      <c r="KOX136" s="17"/>
      <c r="KOY136" s="17"/>
      <c r="KOZ136" s="17"/>
      <c r="KPA136" s="17"/>
      <c r="KPB136" s="17"/>
      <c r="KPC136" s="17"/>
      <c r="KPD136" s="17"/>
      <c r="KPE136" s="17"/>
      <c r="KPF136" s="17"/>
      <c r="KPG136" s="17"/>
      <c r="KPH136" s="17"/>
      <c r="KPI136" s="17"/>
      <c r="KPJ136" s="17"/>
      <c r="KPK136" s="17"/>
      <c r="KPL136" s="17"/>
      <c r="KPM136" s="17"/>
      <c r="KPN136" s="17"/>
      <c r="KPO136" s="17"/>
      <c r="KPP136" s="17"/>
      <c r="KPQ136" s="17"/>
      <c r="KPR136" s="17"/>
      <c r="KPS136" s="17"/>
      <c r="KPT136" s="17"/>
      <c r="KPU136" s="17"/>
      <c r="KPV136" s="17"/>
      <c r="KPW136" s="17"/>
      <c r="KPX136" s="17"/>
      <c r="KPY136" s="17"/>
      <c r="KPZ136" s="17"/>
      <c r="KQA136" s="17"/>
      <c r="KQB136" s="17"/>
      <c r="KQC136" s="17"/>
      <c r="KQD136" s="17"/>
      <c r="KQE136" s="17"/>
      <c r="KQF136" s="17"/>
      <c r="KQG136" s="17"/>
      <c r="KQH136" s="17"/>
      <c r="KQI136" s="17"/>
      <c r="KQJ136" s="17"/>
      <c r="KQK136" s="17"/>
      <c r="KQL136" s="17"/>
      <c r="KQM136" s="17"/>
      <c r="KQN136" s="17"/>
      <c r="KQO136" s="17"/>
      <c r="KQP136" s="17"/>
      <c r="KQQ136" s="17"/>
      <c r="KQR136" s="17"/>
      <c r="KQS136" s="17"/>
      <c r="KQT136" s="17"/>
      <c r="KQU136" s="17"/>
      <c r="KQV136" s="17"/>
      <c r="KQW136" s="17"/>
      <c r="KQX136" s="17"/>
      <c r="KQY136" s="17"/>
      <c r="KQZ136" s="17"/>
      <c r="KRA136" s="17"/>
      <c r="KRB136" s="17"/>
      <c r="KRC136" s="17"/>
      <c r="KRD136" s="17"/>
      <c r="KRE136" s="17"/>
      <c r="KRF136" s="17"/>
      <c r="KRG136" s="17"/>
      <c r="KRH136" s="17"/>
      <c r="KRI136" s="17"/>
      <c r="KRJ136" s="17"/>
      <c r="KRK136" s="17"/>
      <c r="KRL136" s="17"/>
      <c r="KRM136" s="17"/>
      <c r="KRN136" s="17"/>
      <c r="KRO136" s="17"/>
      <c r="KRP136" s="17"/>
      <c r="KRQ136" s="17"/>
      <c r="KRR136" s="17"/>
      <c r="KRS136" s="17"/>
      <c r="KRT136" s="17"/>
      <c r="KRU136" s="17"/>
      <c r="KRV136" s="17"/>
      <c r="KRW136" s="17"/>
      <c r="KRX136" s="17"/>
      <c r="KRY136" s="17"/>
      <c r="KRZ136" s="17"/>
      <c r="KSA136" s="17"/>
      <c r="KSB136" s="17"/>
      <c r="KSC136" s="17"/>
      <c r="KSD136" s="17"/>
      <c r="KSE136" s="17"/>
      <c r="KSF136" s="17"/>
      <c r="KSG136" s="17"/>
      <c r="KSH136" s="17"/>
      <c r="KSI136" s="17"/>
      <c r="KSJ136" s="17"/>
      <c r="KSK136" s="17"/>
      <c r="KSL136" s="17"/>
      <c r="KSM136" s="17"/>
      <c r="KSN136" s="17"/>
      <c r="KSO136" s="17"/>
      <c r="KSP136" s="17"/>
      <c r="KSQ136" s="17"/>
      <c r="KSR136" s="17"/>
      <c r="KSS136" s="17"/>
      <c r="KST136" s="17"/>
      <c r="KSU136" s="17"/>
      <c r="KSV136" s="17"/>
      <c r="KSW136" s="17"/>
      <c r="KSX136" s="17"/>
      <c r="KSY136" s="17"/>
      <c r="KSZ136" s="17"/>
      <c r="KTA136" s="17"/>
      <c r="KTB136" s="17"/>
      <c r="KTC136" s="17"/>
      <c r="KTD136" s="17"/>
      <c r="KTE136" s="17"/>
      <c r="KTF136" s="17"/>
      <c r="KTG136" s="17"/>
      <c r="KTH136" s="17"/>
      <c r="KTI136" s="17"/>
      <c r="KTJ136" s="17"/>
      <c r="KTK136" s="17"/>
      <c r="KTL136" s="17"/>
      <c r="KTM136" s="17"/>
      <c r="KTN136" s="17"/>
      <c r="KTO136" s="17"/>
      <c r="KTP136" s="17"/>
      <c r="KTQ136" s="17"/>
      <c r="KTR136" s="17"/>
      <c r="KTS136" s="17"/>
      <c r="KTT136" s="17"/>
      <c r="KTU136" s="17"/>
      <c r="KTV136" s="17"/>
      <c r="KTW136" s="17"/>
      <c r="KTX136" s="17"/>
      <c r="KTY136" s="17"/>
      <c r="KTZ136" s="17"/>
      <c r="KUA136" s="17"/>
      <c r="KUB136" s="17"/>
      <c r="KUC136" s="17"/>
      <c r="KUD136" s="17"/>
      <c r="KUE136" s="17"/>
      <c r="KUF136" s="17"/>
      <c r="KUG136" s="17"/>
      <c r="KUH136" s="17"/>
      <c r="KUI136" s="17"/>
      <c r="KUJ136" s="17"/>
      <c r="KUK136" s="17"/>
      <c r="KUL136" s="17"/>
      <c r="KUM136" s="17"/>
      <c r="KUN136" s="17"/>
      <c r="KUO136" s="17"/>
      <c r="KUP136" s="17"/>
      <c r="KUQ136" s="17"/>
      <c r="KUR136" s="17"/>
      <c r="KUS136" s="17"/>
      <c r="KUT136" s="17"/>
      <c r="KUU136" s="17"/>
      <c r="KUV136" s="17"/>
      <c r="KUW136" s="17"/>
      <c r="KUX136" s="17"/>
      <c r="KUY136" s="17"/>
      <c r="KUZ136" s="17"/>
      <c r="KVA136" s="17"/>
      <c r="KVB136" s="17"/>
      <c r="KVC136" s="17"/>
      <c r="KVD136" s="17"/>
      <c r="KVE136" s="17"/>
      <c r="KVF136" s="17"/>
      <c r="KVG136" s="17"/>
      <c r="KVH136" s="17"/>
      <c r="KVI136" s="17"/>
      <c r="KVJ136" s="17"/>
      <c r="KVK136" s="17"/>
      <c r="KVL136" s="17"/>
      <c r="KVM136" s="17"/>
      <c r="KVN136" s="17"/>
      <c r="KVO136" s="17"/>
      <c r="KVP136" s="17"/>
      <c r="KVQ136" s="17"/>
      <c r="KVR136" s="17"/>
      <c r="KVS136" s="17"/>
      <c r="KVT136" s="17"/>
      <c r="KVU136" s="17"/>
      <c r="KVV136" s="17"/>
      <c r="KVW136" s="17"/>
      <c r="KVX136" s="17"/>
      <c r="KVY136" s="17"/>
      <c r="KVZ136" s="17"/>
      <c r="KWA136" s="17"/>
      <c r="KWB136" s="17"/>
      <c r="KWC136" s="17"/>
      <c r="KWD136" s="17"/>
      <c r="KWE136" s="17"/>
      <c r="KWF136" s="17"/>
      <c r="KWG136" s="17"/>
      <c r="KWH136" s="17"/>
      <c r="KWI136" s="17"/>
      <c r="KWJ136" s="17"/>
      <c r="KWK136" s="17"/>
      <c r="KWL136" s="17"/>
      <c r="KWM136" s="17"/>
      <c r="KWN136" s="17"/>
      <c r="KWO136" s="17"/>
      <c r="KWP136" s="17"/>
      <c r="KWQ136" s="17"/>
      <c r="KWR136" s="17"/>
      <c r="KWS136" s="17"/>
      <c r="KWT136" s="17"/>
      <c r="KWU136" s="17"/>
      <c r="KWV136" s="17"/>
      <c r="KWW136" s="17"/>
      <c r="KWX136" s="17"/>
      <c r="KWY136" s="17"/>
      <c r="KWZ136" s="17"/>
      <c r="KXA136" s="17"/>
      <c r="KXB136" s="17"/>
      <c r="KXC136" s="17"/>
      <c r="KXD136" s="17"/>
      <c r="KXE136" s="17"/>
      <c r="KXF136" s="17"/>
      <c r="KXG136" s="17"/>
      <c r="KXH136" s="17"/>
      <c r="KXI136" s="17"/>
      <c r="KXJ136" s="17"/>
      <c r="KXK136" s="17"/>
      <c r="KXL136" s="17"/>
      <c r="KXM136" s="17"/>
      <c r="KXN136" s="17"/>
      <c r="KXO136" s="17"/>
      <c r="KXP136" s="17"/>
      <c r="KXQ136" s="17"/>
      <c r="KXR136" s="17"/>
      <c r="KXS136" s="17"/>
      <c r="KXT136" s="17"/>
      <c r="KXU136" s="17"/>
      <c r="KXV136" s="17"/>
      <c r="KXW136" s="17"/>
      <c r="KXX136" s="17"/>
      <c r="KXY136" s="17"/>
      <c r="KXZ136" s="17"/>
      <c r="KYA136" s="17"/>
      <c r="KYB136" s="17"/>
      <c r="KYC136" s="17"/>
      <c r="KYD136" s="17"/>
      <c r="KYE136" s="17"/>
      <c r="KYF136" s="17"/>
      <c r="KYG136" s="17"/>
      <c r="KYH136" s="17"/>
      <c r="KYI136" s="17"/>
      <c r="KYJ136" s="17"/>
      <c r="KYK136" s="17"/>
      <c r="KYL136" s="17"/>
      <c r="KYM136" s="17"/>
      <c r="KYN136" s="17"/>
      <c r="KYO136" s="17"/>
      <c r="KYP136" s="17"/>
      <c r="KYQ136" s="17"/>
      <c r="KYR136" s="17"/>
      <c r="KYS136" s="17"/>
      <c r="KYT136" s="17"/>
      <c r="KYU136" s="17"/>
      <c r="KYV136" s="17"/>
      <c r="KYW136" s="17"/>
      <c r="KYX136" s="17"/>
      <c r="KYY136" s="17"/>
      <c r="KYZ136" s="17"/>
      <c r="KZA136" s="17"/>
      <c r="KZB136" s="17"/>
      <c r="KZC136" s="17"/>
      <c r="KZD136" s="17"/>
      <c r="KZE136" s="17"/>
      <c r="KZF136" s="17"/>
      <c r="KZG136" s="17"/>
      <c r="KZH136" s="17"/>
      <c r="KZI136" s="17"/>
      <c r="KZJ136" s="17"/>
      <c r="KZK136" s="17"/>
      <c r="KZL136" s="17"/>
      <c r="KZM136" s="17"/>
      <c r="KZN136" s="17"/>
      <c r="KZO136" s="17"/>
      <c r="KZP136" s="17"/>
      <c r="KZQ136" s="17"/>
      <c r="KZR136" s="17"/>
      <c r="KZS136" s="17"/>
      <c r="KZT136" s="17"/>
      <c r="KZU136" s="17"/>
      <c r="KZV136" s="17"/>
      <c r="KZW136" s="17"/>
      <c r="KZX136" s="17"/>
      <c r="KZY136" s="17"/>
      <c r="KZZ136" s="17"/>
      <c r="LAA136" s="17"/>
      <c r="LAB136" s="17"/>
      <c r="LAC136" s="17"/>
      <c r="LAD136" s="17"/>
      <c r="LAE136" s="17"/>
      <c r="LAF136" s="17"/>
      <c r="LAG136" s="17"/>
      <c r="LAH136" s="17"/>
      <c r="LAI136" s="17"/>
      <c r="LAJ136" s="17"/>
      <c r="LAK136" s="17"/>
      <c r="LAL136" s="17"/>
      <c r="LAM136" s="17"/>
      <c r="LAN136" s="17"/>
      <c r="LAO136" s="17"/>
      <c r="LAP136" s="17"/>
      <c r="LAQ136" s="17"/>
      <c r="LAR136" s="17"/>
      <c r="LAS136" s="17"/>
      <c r="LAT136" s="17"/>
      <c r="LAU136" s="17"/>
      <c r="LAV136" s="17"/>
      <c r="LAW136" s="17"/>
      <c r="LAX136" s="17"/>
      <c r="LAY136" s="17"/>
      <c r="LAZ136" s="17"/>
      <c r="LBA136" s="17"/>
      <c r="LBB136" s="17"/>
      <c r="LBC136" s="17"/>
      <c r="LBD136" s="17"/>
      <c r="LBE136" s="17"/>
      <c r="LBF136" s="17"/>
      <c r="LBG136" s="17"/>
      <c r="LBH136" s="17"/>
      <c r="LBI136" s="17"/>
      <c r="LBJ136" s="17"/>
      <c r="LBK136" s="17"/>
      <c r="LBL136" s="17"/>
      <c r="LBM136" s="17"/>
      <c r="LBN136" s="17"/>
      <c r="LBO136" s="17"/>
      <c r="LBP136" s="17"/>
      <c r="LBQ136" s="17"/>
      <c r="LBR136" s="17"/>
      <c r="LBS136" s="17"/>
      <c r="LBT136" s="17"/>
      <c r="LBU136" s="17"/>
      <c r="LBV136" s="17"/>
      <c r="LBW136" s="17"/>
      <c r="LBX136" s="17"/>
      <c r="LBY136" s="17"/>
      <c r="LBZ136" s="17"/>
      <c r="LCA136" s="17"/>
      <c r="LCB136" s="17"/>
      <c r="LCC136" s="17"/>
      <c r="LCD136" s="17"/>
      <c r="LCE136" s="17"/>
      <c r="LCF136" s="17"/>
      <c r="LCG136" s="17"/>
      <c r="LCH136" s="17"/>
      <c r="LCI136" s="17"/>
      <c r="LCJ136" s="17"/>
      <c r="LCK136" s="17"/>
      <c r="LCL136" s="17"/>
      <c r="LCM136" s="17"/>
      <c r="LCN136" s="17"/>
      <c r="LCO136" s="17"/>
      <c r="LCP136" s="17"/>
      <c r="LCQ136" s="17"/>
      <c r="LCR136" s="17"/>
      <c r="LCS136" s="17"/>
      <c r="LCT136" s="17"/>
      <c r="LCU136" s="17"/>
      <c r="LCV136" s="17"/>
      <c r="LCW136" s="17"/>
      <c r="LCX136" s="17"/>
      <c r="LCY136" s="17"/>
      <c r="LCZ136" s="17"/>
      <c r="LDA136" s="17"/>
      <c r="LDB136" s="17"/>
      <c r="LDC136" s="17"/>
      <c r="LDD136" s="17"/>
      <c r="LDE136" s="17"/>
      <c r="LDF136" s="17"/>
      <c r="LDG136" s="17"/>
      <c r="LDH136" s="17"/>
      <c r="LDI136" s="17"/>
      <c r="LDJ136" s="17"/>
      <c r="LDK136" s="17"/>
      <c r="LDL136" s="17"/>
      <c r="LDM136" s="17"/>
      <c r="LDN136" s="17"/>
      <c r="LDO136" s="17"/>
      <c r="LDP136" s="17"/>
      <c r="LDQ136" s="17"/>
      <c r="LDR136" s="17"/>
      <c r="LDS136" s="17"/>
      <c r="LDT136" s="17"/>
      <c r="LDU136" s="17"/>
      <c r="LDV136" s="17"/>
      <c r="LDW136" s="17"/>
      <c r="LDX136" s="17"/>
      <c r="LDY136" s="17"/>
      <c r="LDZ136" s="17"/>
      <c r="LEA136" s="17"/>
      <c r="LEB136" s="17"/>
      <c r="LEC136" s="17"/>
      <c r="LED136" s="17"/>
      <c r="LEE136" s="17"/>
      <c r="LEF136" s="17"/>
      <c r="LEG136" s="17"/>
      <c r="LEH136" s="17"/>
      <c r="LEI136" s="17"/>
      <c r="LEJ136" s="17"/>
      <c r="LEK136" s="17"/>
      <c r="LEL136" s="17"/>
      <c r="LEM136" s="17"/>
      <c r="LEN136" s="17"/>
      <c r="LEO136" s="17"/>
      <c r="LEP136" s="17"/>
      <c r="LEQ136" s="17"/>
      <c r="LER136" s="17"/>
      <c r="LES136" s="17"/>
      <c r="LET136" s="17"/>
      <c r="LEU136" s="17"/>
      <c r="LEV136" s="17"/>
      <c r="LEW136" s="17"/>
      <c r="LEX136" s="17"/>
      <c r="LEY136" s="17"/>
      <c r="LEZ136" s="17"/>
      <c r="LFA136" s="17"/>
      <c r="LFB136" s="17"/>
      <c r="LFC136" s="17"/>
      <c r="LFD136" s="17"/>
      <c r="LFE136" s="17"/>
      <c r="LFF136" s="17"/>
      <c r="LFG136" s="17"/>
      <c r="LFH136" s="17"/>
      <c r="LFI136" s="17"/>
      <c r="LFJ136" s="17"/>
      <c r="LFK136" s="17"/>
      <c r="LFL136" s="17"/>
      <c r="LFM136" s="17"/>
      <c r="LFN136" s="17"/>
      <c r="LFO136" s="17"/>
      <c r="LFP136" s="17"/>
      <c r="LFQ136" s="17"/>
      <c r="LFR136" s="17"/>
      <c r="LFS136" s="17"/>
      <c r="LFT136" s="17"/>
      <c r="LFU136" s="17"/>
      <c r="LFV136" s="17"/>
      <c r="LFW136" s="17"/>
      <c r="LFX136" s="17"/>
      <c r="LFY136" s="17"/>
      <c r="LFZ136" s="17"/>
      <c r="LGA136" s="17"/>
      <c r="LGB136" s="17"/>
      <c r="LGC136" s="17"/>
      <c r="LGD136" s="17"/>
      <c r="LGE136" s="17"/>
      <c r="LGF136" s="17"/>
      <c r="LGG136" s="17"/>
      <c r="LGH136" s="17"/>
      <c r="LGI136" s="17"/>
      <c r="LGJ136" s="17"/>
      <c r="LGK136" s="17"/>
      <c r="LGL136" s="17"/>
      <c r="LGM136" s="17"/>
      <c r="LGN136" s="17"/>
      <c r="LGO136" s="17"/>
      <c r="LGP136" s="17"/>
      <c r="LGQ136" s="17"/>
      <c r="LGR136" s="17"/>
      <c r="LGS136" s="17"/>
      <c r="LGT136" s="17"/>
      <c r="LGU136" s="17"/>
      <c r="LGV136" s="17"/>
      <c r="LGW136" s="17"/>
      <c r="LGX136" s="17"/>
      <c r="LGY136" s="17"/>
      <c r="LGZ136" s="17"/>
      <c r="LHA136" s="17"/>
      <c r="LHB136" s="17"/>
      <c r="LHC136" s="17"/>
      <c r="LHD136" s="17"/>
      <c r="LHE136" s="17"/>
      <c r="LHF136" s="17"/>
      <c r="LHG136" s="17"/>
      <c r="LHH136" s="17"/>
      <c r="LHI136" s="17"/>
      <c r="LHJ136" s="17"/>
      <c r="LHK136" s="17"/>
      <c r="LHL136" s="17"/>
      <c r="LHM136" s="17"/>
      <c r="LHN136" s="17"/>
      <c r="LHO136" s="17"/>
      <c r="LHP136" s="17"/>
      <c r="LHQ136" s="17"/>
      <c r="LHR136" s="17"/>
      <c r="LHS136" s="17"/>
      <c r="LHT136" s="17"/>
      <c r="LHU136" s="17"/>
      <c r="LHV136" s="17"/>
      <c r="LHW136" s="17"/>
      <c r="LHX136" s="17"/>
      <c r="LHY136" s="17"/>
      <c r="LHZ136" s="17"/>
      <c r="LIA136" s="17"/>
      <c r="LIB136" s="17"/>
      <c r="LIC136" s="17"/>
      <c r="LID136" s="17"/>
      <c r="LIE136" s="17"/>
      <c r="LIF136" s="17"/>
      <c r="LIG136" s="17"/>
      <c r="LIH136" s="17"/>
      <c r="LII136" s="17"/>
      <c r="LIJ136" s="17"/>
      <c r="LIK136" s="17"/>
      <c r="LIL136" s="17"/>
      <c r="LIM136" s="17"/>
      <c r="LIN136" s="17"/>
      <c r="LIO136" s="17"/>
      <c r="LIP136" s="17"/>
      <c r="LIQ136" s="17"/>
      <c r="LIR136" s="17"/>
      <c r="LIS136" s="17"/>
      <c r="LIT136" s="17"/>
      <c r="LIU136" s="17"/>
      <c r="LIV136" s="17"/>
      <c r="LIW136" s="17"/>
      <c r="LIX136" s="17"/>
      <c r="LIY136" s="17"/>
      <c r="LIZ136" s="17"/>
      <c r="LJA136" s="17"/>
      <c r="LJB136" s="17"/>
      <c r="LJC136" s="17"/>
      <c r="LJD136" s="17"/>
      <c r="LJE136" s="17"/>
      <c r="LJF136" s="17"/>
      <c r="LJG136" s="17"/>
      <c r="LJH136" s="17"/>
      <c r="LJI136" s="17"/>
      <c r="LJJ136" s="17"/>
      <c r="LJK136" s="17"/>
      <c r="LJL136" s="17"/>
      <c r="LJM136" s="17"/>
      <c r="LJN136" s="17"/>
      <c r="LJO136" s="17"/>
      <c r="LJP136" s="17"/>
      <c r="LJQ136" s="17"/>
      <c r="LJR136" s="17"/>
      <c r="LJS136" s="17"/>
      <c r="LJT136" s="17"/>
      <c r="LJU136" s="17"/>
      <c r="LJV136" s="17"/>
      <c r="LJW136" s="17"/>
      <c r="LJX136" s="17"/>
      <c r="LJY136" s="17"/>
      <c r="LJZ136" s="17"/>
      <c r="LKA136" s="17"/>
      <c r="LKB136" s="17"/>
      <c r="LKC136" s="17"/>
      <c r="LKD136" s="17"/>
      <c r="LKE136" s="17"/>
      <c r="LKF136" s="17"/>
      <c r="LKG136" s="17"/>
      <c r="LKH136" s="17"/>
      <c r="LKI136" s="17"/>
      <c r="LKJ136" s="17"/>
      <c r="LKK136" s="17"/>
      <c r="LKL136" s="17"/>
      <c r="LKM136" s="17"/>
      <c r="LKN136" s="17"/>
      <c r="LKO136" s="17"/>
      <c r="LKP136" s="17"/>
      <c r="LKQ136" s="17"/>
      <c r="LKR136" s="17"/>
      <c r="LKS136" s="17"/>
      <c r="LKT136" s="17"/>
      <c r="LKU136" s="17"/>
      <c r="LKV136" s="17"/>
      <c r="LKW136" s="17"/>
      <c r="LKX136" s="17"/>
      <c r="LKY136" s="17"/>
      <c r="LKZ136" s="17"/>
      <c r="LLA136" s="17"/>
      <c r="LLB136" s="17"/>
      <c r="LLC136" s="17"/>
      <c r="LLD136" s="17"/>
      <c r="LLE136" s="17"/>
      <c r="LLF136" s="17"/>
      <c r="LLG136" s="17"/>
      <c r="LLH136" s="17"/>
      <c r="LLI136" s="17"/>
      <c r="LLJ136" s="17"/>
      <c r="LLK136" s="17"/>
      <c r="LLL136" s="17"/>
      <c r="LLM136" s="17"/>
      <c r="LLN136" s="17"/>
      <c r="LLO136" s="17"/>
      <c r="LLP136" s="17"/>
      <c r="LLQ136" s="17"/>
      <c r="LLR136" s="17"/>
      <c r="LLS136" s="17"/>
      <c r="LLT136" s="17"/>
      <c r="LLU136" s="17"/>
      <c r="LLV136" s="17"/>
      <c r="LLW136" s="17"/>
      <c r="LLX136" s="17"/>
      <c r="LLY136" s="17"/>
      <c r="LLZ136" s="17"/>
      <c r="LMA136" s="17"/>
      <c r="LMB136" s="17"/>
      <c r="LMC136" s="17"/>
      <c r="LMD136" s="17"/>
      <c r="LME136" s="17"/>
      <c r="LMF136" s="17"/>
      <c r="LMG136" s="17"/>
      <c r="LMH136" s="17"/>
      <c r="LMI136" s="17"/>
      <c r="LMJ136" s="17"/>
      <c r="LMK136" s="17"/>
      <c r="LML136" s="17"/>
      <c r="LMM136" s="17"/>
      <c r="LMN136" s="17"/>
      <c r="LMO136" s="17"/>
      <c r="LMP136" s="17"/>
      <c r="LMQ136" s="17"/>
      <c r="LMR136" s="17"/>
      <c r="LMS136" s="17"/>
      <c r="LMT136" s="17"/>
      <c r="LMU136" s="17"/>
      <c r="LMV136" s="17"/>
      <c r="LMW136" s="17"/>
      <c r="LMX136" s="17"/>
      <c r="LMY136" s="17"/>
      <c r="LMZ136" s="17"/>
      <c r="LNA136" s="17"/>
      <c r="LNB136" s="17"/>
      <c r="LNC136" s="17"/>
      <c r="LND136" s="17"/>
      <c r="LNE136" s="17"/>
      <c r="LNF136" s="17"/>
      <c r="LNG136" s="17"/>
      <c r="LNH136" s="17"/>
      <c r="LNI136" s="17"/>
      <c r="LNJ136" s="17"/>
      <c r="LNK136" s="17"/>
      <c r="LNL136" s="17"/>
      <c r="LNM136" s="17"/>
      <c r="LNN136" s="17"/>
      <c r="LNO136" s="17"/>
      <c r="LNP136" s="17"/>
      <c r="LNQ136" s="17"/>
      <c r="LNR136" s="17"/>
      <c r="LNS136" s="17"/>
      <c r="LNT136" s="17"/>
      <c r="LNU136" s="17"/>
      <c r="LNV136" s="17"/>
      <c r="LNW136" s="17"/>
      <c r="LNX136" s="17"/>
      <c r="LNY136" s="17"/>
      <c r="LNZ136" s="17"/>
      <c r="LOA136" s="17"/>
      <c r="LOB136" s="17"/>
      <c r="LOC136" s="17"/>
      <c r="LOD136" s="17"/>
      <c r="LOE136" s="17"/>
      <c r="LOF136" s="17"/>
      <c r="LOG136" s="17"/>
      <c r="LOH136" s="17"/>
      <c r="LOI136" s="17"/>
      <c r="LOJ136" s="17"/>
      <c r="LOK136" s="17"/>
      <c r="LOL136" s="17"/>
      <c r="LOM136" s="17"/>
      <c r="LON136" s="17"/>
      <c r="LOO136" s="17"/>
      <c r="LOP136" s="17"/>
      <c r="LOQ136" s="17"/>
      <c r="LOR136" s="17"/>
      <c r="LOS136" s="17"/>
      <c r="LOT136" s="17"/>
      <c r="LOU136" s="17"/>
      <c r="LOV136" s="17"/>
      <c r="LOW136" s="17"/>
      <c r="LOX136" s="17"/>
      <c r="LOY136" s="17"/>
      <c r="LOZ136" s="17"/>
      <c r="LPA136" s="17"/>
      <c r="LPB136" s="17"/>
      <c r="LPC136" s="17"/>
      <c r="LPD136" s="17"/>
      <c r="LPE136" s="17"/>
      <c r="LPF136" s="17"/>
      <c r="LPG136" s="17"/>
      <c r="LPH136" s="17"/>
      <c r="LPI136" s="17"/>
      <c r="LPJ136" s="17"/>
      <c r="LPK136" s="17"/>
      <c r="LPL136" s="17"/>
      <c r="LPM136" s="17"/>
      <c r="LPN136" s="17"/>
      <c r="LPO136" s="17"/>
      <c r="LPP136" s="17"/>
      <c r="LPQ136" s="17"/>
      <c r="LPR136" s="17"/>
      <c r="LPS136" s="17"/>
      <c r="LPT136" s="17"/>
      <c r="LPU136" s="17"/>
      <c r="LPV136" s="17"/>
      <c r="LPW136" s="17"/>
      <c r="LPX136" s="17"/>
      <c r="LPY136" s="17"/>
      <c r="LPZ136" s="17"/>
      <c r="LQA136" s="17"/>
      <c r="LQB136" s="17"/>
      <c r="LQC136" s="17"/>
      <c r="LQD136" s="17"/>
      <c r="LQE136" s="17"/>
      <c r="LQF136" s="17"/>
      <c r="LQG136" s="17"/>
      <c r="LQH136" s="17"/>
      <c r="LQI136" s="17"/>
      <c r="LQJ136" s="17"/>
      <c r="LQK136" s="17"/>
      <c r="LQL136" s="17"/>
      <c r="LQM136" s="17"/>
      <c r="LQN136" s="17"/>
      <c r="LQO136" s="17"/>
      <c r="LQP136" s="17"/>
      <c r="LQQ136" s="17"/>
      <c r="LQR136" s="17"/>
      <c r="LQS136" s="17"/>
      <c r="LQT136" s="17"/>
      <c r="LQU136" s="17"/>
      <c r="LQV136" s="17"/>
      <c r="LQW136" s="17"/>
      <c r="LQX136" s="17"/>
      <c r="LQY136" s="17"/>
      <c r="LQZ136" s="17"/>
      <c r="LRA136" s="17"/>
      <c r="LRB136" s="17"/>
      <c r="LRC136" s="17"/>
      <c r="LRD136" s="17"/>
      <c r="LRE136" s="17"/>
      <c r="LRF136" s="17"/>
      <c r="LRG136" s="17"/>
      <c r="LRH136" s="17"/>
      <c r="LRI136" s="17"/>
      <c r="LRJ136" s="17"/>
      <c r="LRK136" s="17"/>
      <c r="LRL136" s="17"/>
      <c r="LRM136" s="17"/>
      <c r="LRN136" s="17"/>
      <c r="LRO136" s="17"/>
      <c r="LRP136" s="17"/>
      <c r="LRQ136" s="17"/>
      <c r="LRR136" s="17"/>
      <c r="LRS136" s="17"/>
      <c r="LRT136" s="17"/>
      <c r="LRU136" s="17"/>
      <c r="LRV136" s="17"/>
      <c r="LRW136" s="17"/>
      <c r="LRX136" s="17"/>
      <c r="LRY136" s="17"/>
      <c r="LRZ136" s="17"/>
      <c r="LSA136" s="17"/>
      <c r="LSB136" s="17"/>
      <c r="LSC136" s="17"/>
      <c r="LSD136" s="17"/>
      <c r="LSE136" s="17"/>
      <c r="LSF136" s="17"/>
      <c r="LSG136" s="17"/>
      <c r="LSH136" s="17"/>
      <c r="LSI136" s="17"/>
      <c r="LSJ136" s="17"/>
      <c r="LSK136" s="17"/>
      <c r="LSL136" s="17"/>
      <c r="LSM136" s="17"/>
      <c r="LSN136" s="17"/>
      <c r="LSO136" s="17"/>
      <c r="LSP136" s="17"/>
      <c r="LSQ136" s="17"/>
      <c r="LSR136" s="17"/>
      <c r="LSS136" s="17"/>
      <c r="LST136" s="17"/>
      <c r="LSU136" s="17"/>
      <c r="LSV136" s="17"/>
      <c r="LSW136" s="17"/>
      <c r="LSX136" s="17"/>
      <c r="LSY136" s="17"/>
      <c r="LSZ136" s="17"/>
      <c r="LTA136" s="17"/>
      <c r="LTB136" s="17"/>
      <c r="LTC136" s="17"/>
      <c r="LTD136" s="17"/>
      <c r="LTE136" s="17"/>
      <c r="LTF136" s="17"/>
      <c r="LTG136" s="17"/>
      <c r="LTH136" s="17"/>
      <c r="LTI136" s="17"/>
      <c r="LTJ136" s="17"/>
      <c r="LTK136" s="17"/>
      <c r="LTL136" s="17"/>
      <c r="LTM136" s="17"/>
      <c r="LTN136" s="17"/>
      <c r="LTO136" s="17"/>
      <c r="LTP136" s="17"/>
      <c r="LTQ136" s="17"/>
      <c r="LTR136" s="17"/>
      <c r="LTS136" s="17"/>
      <c r="LTT136" s="17"/>
      <c r="LTU136" s="17"/>
      <c r="LTV136" s="17"/>
      <c r="LTW136" s="17"/>
      <c r="LTX136" s="17"/>
      <c r="LTY136" s="17"/>
      <c r="LTZ136" s="17"/>
      <c r="LUA136" s="17"/>
      <c r="LUB136" s="17"/>
      <c r="LUC136" s="17"/>
      <c r="LUD136" s="17"/>
      <c r="LUE136" s="17"/>
      <c r="LUF136" s="17"/>
      <c r="LUG136" s="17"/>
      <c r="LUH136" s="17"/>
      <c r="LUI136" s="17"/>
      <c r="LUJ136" s="17"/>
      <c r="LUK136" s="17"/>
      <c r="LUL136" s="17"/>
      <c r="LUM136" s="17"/>
      <c r="LUN136" s="17"/>
      <c r="LUO136" s="17"/>
      <c r="LUP136" s="17"/>
      <c r="LUQ136" s="17"/>
      <c r="LUR136" s="17"/>
      <c r="LUS136" s="17"/>
      <c r="LUT136" s="17"/>
      <c r="LUU136" s="17"/>
      <c r="LUV136" s="17"/>
      <c r="LUW136" s="17"/>
      <c r="LUX136" s="17"/>
      <c r="LUY136" s="17"/>
      <c r="LUZ136" s="17"/>
      <c r="LVA136" s="17"/>
      <c r="LVB136" s="17"/>
      <c r="LVC136" s="17"/>
      <c r="LVD136" s="17"/>
      <c r="LVE136" s="17"/>
      <c r="LVF136" s="17"/>
      <c r="LVG136" s="17"/>
      <c r="LVH136" s="17"/>
      <c r="LVI136" s="17"/>
      <c r="LVJ136" s="17"/>
      <c r="LVK136" s="17"/>
      <c r="LVL136" s="17"/>
      <c r="LVM136" s="17"/>
      <c r="LVN136" s="17"/>
      <c r="LVO136" s="17"/>
      <c r="LVP136" s="17"/>
      <c r="LVQ136" s="17"/>
      <c r="LVR136" s="17"/>
      <c r="LVS136" s="17"/>
      <c r="LVT136" s="17"/>
      <c r="LVU136" s="17"/>
      <c r="LVV136" s="17"/>
      <c r="LVW136" s="17"/>
      <c r="LVX136" s="17"/>
      <c r="LVY136" s="17"/>
      <c r="LVZ136" s="17"/>
      <c r="LWA136" s="17"/>
      <c r="LWB136" s="17"/>
      <c r="LWC136" s="17"/>
      <c r="LWD136" s="17"/>
      <c r="LWE136" s="17"/>
      <c r="LWF136" s="17"/>
      <c r="LWG136" s="17"/>
      <c r="LWH136" s="17"/>
      <c r="LWI136" s="17"/>
      <c r="LWJ136" s="17"/>
      <c r="LWK136" s="17"/>
      <c r="LWL136" s="17"/>
      <c r="LWM136" s="17"/>
      <c r="LWN136" s="17"/>
      <c r="LWO136" s="17"/>
      <c r="LWP136" s="17"/>
      <c r="LWQ136" s="17"/>
      <c r="LWR136" s="17"/>
      <c r="LWS136" s="17"/>
      <c r="LWT136" s="17"/>
      <c r="LWU136" s="17"/>
      <c r="LWV136" s="17"/>
      <c r="LWW136" s="17"/>
      <c r="LWX136" s="17"/>
      <c r="LWY136" s="17"/>
      <c r="LWZ136" s="17"/>
      <c r="LXA136" s="17"/>
      <c r="LXB136" s="17"/>
      <c r="LXC136" s="17"/>
      <c r="LXD136" s="17"/>
      <c r="LXE136" s="17"/>
      <c r="LXF136" s="17"/>
      <c r="LXG136" s="17"/>
      <c r="LXH136" s="17"/>
      <c r="LXI136" s="17"/>
      <c r="LXJ136" s="17"/>
      <c r="LXK136" s="17"/>
      <c r="LXL136" s="17"/>
      <c r="LXM136" s="17"/>
      <c r="LXN136" s="17"/>
      <c r="LXO136" s="17"/>
      <c r="LXP136" s="17"/>
      <c r="LXQ136" s="17"/>
      <c r="LXR136" s="17"/>
      <c r="LXS136" s="17"/>
      <c r="LXT136" s="17"/>
      <c r="LXU136" s="17"/>
      <c r="LXV136" s="17"/>
      <c r="LXW136" s="17"/>
      <c r="LXX136" s="17"/>
      <c r="LXY136" s="17"/>
      <c r="LXZ136" s="17"/>
      <c r="LYA136" s="17"/>
      <c r="LYB136" s="17"/>
      <c r="LYC136" s="17"/>
      <c r="LYD136" s="17"/>
      <c r="LYE136" s="17"/>
      <c r="LYF136" s="17"/>
      <c r="LYG136" s="17"/>
      <c r="LYH136" s="17"/>
      <c r="LYI136" s="17"/>
      <c r="LYJ136" s="17"/>
      <c r="LYK136" s="17"/>
      <c r="LYL136" s="17"/>
      <c r="LYM136" s="17"/>
      <c r="LYN136" s="17"/>
      <c r="LYO136" s="17"/>
      <c r="LYP136" s="17"/>
      <c r="LYQ136" s="17"/>
      <c r="LYR136" s="17"/>
      <c r="LYS136" s="17"/>
      <c r="LYT136" s="17"/>
      <c r="LYU136" s="17"/>
      <c r="LYV136" s="17"/>
      <c r="LYW136" s="17"/>
      <c r="LYX136" s="17"/>
      <c r="LYY136" s="17"/>
      <c r="LYZ136" s="17"/>
      <c r="LZA136" s="17"/>
      <c r="LZB136" s="17"/>
      <c r="LZC136" s="17"/>
      <c r="LZD136" s="17"/>
      <c r="LZE136" s="17"/>
      <c r="LZF136" s="17"/>
      <c r="LZG136" s="17"/>
      <c r="LZH136" s="17"/>
      <c r="LZI136" s="17"/>
      <c r="LZJ136" s="17"/>
      <c r="LZK136" s="17"/>
      <c r="LZL136" s="17"/>
      <c r="LZM136" s="17"/>
      <c r="LZN136" s="17"/>
      <c r="LZO136" s="17"/>
      <c r="LZP136" s="17"/>
      <c r="LZQ136" s="17"/>
      <c r="LZR136" s="17"/>
      <c r="LZS136" s="17"/>
      <c r="LZT136" s="17"/>
      <c r="LZU136" s="17"/>
      <c r="LZV136" s="17"/>
      <c r="LZW136" s="17"/>
      <c r="LZX136" s="17"/>
      <c r="LZY136" s="17"/>
      <c r="LZZ136" s="17"/>
      <c r="MAA136" s="17"/>
      <c r="MAB136" s="17"/>
      <c r="MAC136" s="17"/>
      <c r="MAD136" s="17"/>
      <c r="MAE136" s="17"/>
      <c r="MAF136" s="17"/>
      <c r="MAG136" s="17"/>
      <c r="MAH136" s="17"/>
      <c r="MAI136" s="17"/>
      <c r="MAJ136" s="17"/>
      <c r="MAK136" s="17"/>
      <c r="MAL136" s="17"/>
      <c r="MAM136" s="17"/>
      <c r="MAN136" s="17"/>
      <c r="MAO136" s="17"/>
      <c r="MAP136" s="17"/>
      <c r="MAQ136" s="17"/>
      <c r="MAR136" s="17"/>
      <c r="MAS136" s="17"/>
      <c r="MAT136" s="17"/>
      <c r="MAU136" s="17"/>
      <c r="MAV136" s="17"/>
      <c r="MAW136" s="17"/>
      <c r="MAX136" s="17"/>
      <c r="MAY136" s="17"/>
      <c r="MAZ136" s="17"/>
      <c r="MBA136" s="17"/>
      <c r="MBB136" s="17"/>
      <c r="MBC136" s="17"/>
      <c r="MBD136" s="17"/>
      <c r="MBE136" s="17"/>
      <c r="MBF136" s="17"/>
      <c r="MBG136" s="17"/>
      <c r="MBH136" s="17"/>
      <c r="MBI136" s="17"/>
      <c r="MBJ136" s="17"/>
      <c r="MBK136" s="17"/>
      <c r="MBL136" s="17"/>
      <c r="MBM136" s="17"/>
      <c r="MBN136" s="17"/>
      <c r="MBO136" s="17"/>
      <c r="MBP136" s="17"/>
      <c r="MBQ136" s="17"/>
      <c r="MBR136" s="17"/>
      <c r="MBS136" s="17"/>
      <c r="MBT136" s="17"/>
      <c r="MBU136" s="17"/>
      <c r="MBV136" s="17"/>
      <c r="MBW136" s="17"/>
      <c r="MBX136" s="17"/>
      <c r="MBY136" s="17"/>
      <c r="MBZ136" s="17"/>
      <c r="MCA136" s="17"/>
      <c r="MCB136" s="17"/>
      <c r="MCC136" s="17"/>
      <c r="MCD136" s="17"/>
      <c r="MCE136" s="17"/>
      <c r="MCF136" s="17"/>
      <c r="MCG136" s="17"/>
      <c r="MCH136" s="17"/>
      <c r="MCI136" s="17"/>
      <c r="MCJ136" s="17"/>
      <c r="MCK136" s="17"/>
      <c r="MCL136" s="17"/>
      <c r="MCM136" s="17"/>
      <c r="MCN136" s="17"/>
      <c r="MCO136" s="17"/>
      <c r="MCP136" s="17"/>
      <c r="MCQ136" s="17"/>
      <c r="MCR136" s="17"/>
      <c r="MCS136" s="17"/>
      <c r="MCT136" s="17"/>
      <c r="MCU136" s="17"/>
      <c r="MCV136" s="17"/>
      <c r="MCW136" s="17"/>
      <c r="MCX136" s="17"/>
      <c r="MCY136" s="17"/>
      <c r="MCZ136" s="17"/>
      <c r="MDA136" s="17"/>
      <c r="MDB136" s="17"/>
      <c r="MDC136" s="17"/>
      <c r="MDD136" s="17"/>
      <c r="MDE136" s="17"/>
      <c r="MDF136" s="17"/>
      <c r="MDG136" s="17"/>
      <c r="MDH136" s="17"/>
      <c r="MDI136" s="17"/>
      <c r="MDJ136" s="17"/>
      <c r="MDK136" s="17"/>
      <c r="MDL136" s="17"/>
      <c r="MDM136" s="17"/>
      <c r="MDN136" s="17"/>
      <c r="MDO136" s="17"/>
      <c r="MDP136" s="17"/>
      <c r="MDQ136" s="17"/>
      <c r="MDR136" s="17"/>
      <c r="MDS136" s="17"/>
      <c r="MDT136" s="17"/>
      <c r="MDU136" s="17"/>
      <c r="MDV136" s="17"/>
      <c r="MDW136" s="17"/>
      <c r="MDX136" s="17"/>
      <c r="MDY136" s="17"/>
      <c r="MDZ136" s="17"/>
      <c r="MEA136" s="17"/>
      <c r="MEB136" s="17"/>
      <c r="MEC136" s="17"/>
      <c r="MED136" s="17"/>
      <c r="MEE136" s="17"/>
      <c r="MEF136" s="17"/>
      <c r="MEG136" s="17"/>
      <c r="MEH136" s="17"/>
      <c r="MEI136" s="17"/>
      <c r="MEJ136" s="17"/>
      <c r="MEK136" s="17"/>
      <c r="MEL136" s="17"/>
      <c r="MEM136" s="17"/>
      <c r="MEN136" s="17"/>
      <c r="MEO136" s="17"/>
      <c r="MEP136" s="17"/>
      <c r="MEQ136" s="17"/>
      <c r="MER136" s="17"/>
      <c r="MES136" s="17"/>
      <c r="MET136" s="17"/>
      <c r="MEU136" s="17"/>
      <c r="MEV136" s="17"/>
      <c r="MEW136" s="17"/>
      <c r="MEX136" s="17"/>
      <c r="MEY136" s="17"/>
      <c r="MEZ136" s="17"/>
      <c r="MFA136" s="17"/>
      <c r="MFB136" s="17"/>
      <c r="MFC136" s="17"/>
      <c r="MFD136" s="17"/>
      <c r="MFE136" s="17"/>
      <c r="MFF136" s="17"/>
      <c r="MFG136" s="17"/>
      <c r="MFH136" s="17"/>
      <c r="MFI136" s="17"/>
      <c r="MFJ136" s="17"/>
      <c r="MFK136" s="17"/>
      <c r="MFL136" s="17"/>
      <c r="MFM136" s="17"/>
      <c r="MFN136" s="17"/>
      <c r="MFO136" s="17"/>
      <c r="MFP136" s="17"/>
      <c r="MFQ136" s="17"/>
      <c r="MFR136" s="17"/>
      <c r="MFS136" s="17"/>
      <c r="MFT136" s="17"/>
      <c r="MFU136" s="17"/>
      <c r="MFV136" s="17"/>
      <c r="MFW136" s="17"/>
      <c r="MFX136" s="17"/>
      <c r="MFY136" s="17"/>
      <c r="MFZ136" s="17"/>
      <c r="MGA136" s="17"/>
      <c r="MGB136" s="17"/>
      <c r="MGC136" s="17"/>
      <c r="MGD136" s="17"/>
      <c r="MGE136" s="17"/>
      <c r="MGF136" s="17"/>
      <c r="MGG136" s="17"/>
      <c r="MGH136" s="17"/>
      <c r="MGI136" s="17"/>
      <c r="MGJ136" s="17"/>
      <c r="MGK136" s="17"/>
      <c r="MGL136" s="17"/>
      <c r="MGM136" s="17"/>
      <c r="MGN136" s="17"/>
      <c r="MGO136" s="17"/>
      <c r="MGP136" s="17"/>
      <c r="MGQ136" s="17"/>
      <c r="MGR136" s="17"/>
      <c r="MGS136" s="17"/>
      <c r="MGT136" s="17"/>
      <c r="MGU136" s="17"/>
      <c r="MGV136" s="17"/>
      <c r="MGW136" s="17"/>
      <c r="MGX136" s="17"/>
      <c r="MGY136" s="17"/>
      <c r="MGZ136" s="17"/>
      <c r="MHA136" s="17"/>
      <c r="MHB136" s="17"/>
      <c r="MHC136" s="17"/>
      <c r="MHD136" s="17"/>
      <c r="MHE136" s="17"/>
      <c r="MHF136" s="17"/>
      <c r="MHG136" s="17"/>
      <c r="MHH136" s="17"/>
      <c r="MHI136" s="17"/>
      <c r="MHJ136" s="17"/>
      <c r="MHK136" s="17"/>
      <c r="MHL136" s="17"/>
      <c r="MHM136" s="17"/>
      <c r="MHN136" s="17"/>
      <c r="MHO136" s="17"/>
      <c r="MHP136" s="17"/>
      <c r="MHQ136" s="17"/>
      <c r="MHR136" s="17"/>
      <c r="MHS136" s="17"/>
      <c r="MHT136" s="17"/>
      <c r="MHU136" s="17"/>
      <c r="MHV136" s="17"/>
      <c r="MHW136" s="17"/>
      <c r="MHX136" s="17"/>
      <c r="MHY136" s="17"/>
      <c r="MHZ136" s="17"/>
      <c r="MIA136" s="17"/>
      <c r="MIB136" s="17"/>
      <c r="MIC136" s="17"/>
      <c r="MID136" s="17"/>
      <c r="MIE136" s="17"/>
      <c r="MIF136" s="17"/>
      <c r="MIG136" s="17"/>
      <c r="MIH136" s="17"/>
      <c r="MII136" s="17"/>
      <c r="MIJ136" s="17"/>
      <c r="MIK136" s="17"/>
      <c r="MIL136" s="17"/>
      <c r="MIM136" s="17"/>
      <c r="MIN136" s="17"/>
      <c r="MIO136" s="17"/>
      <c r="MIP136" s="17"/>
      <c r="MIQ136" s="17"/>
      <c r="MIR136" s="17"/>
      <c r="MIS136" s="17"/>
      <c r="MIT136" s="17"/>
      <c r="MIU136" s="17"/>
      <c r="MIV136" s="17"/>
      <c r="MIW136" s="17"/>
      <c r="MIX136" s="17"/>
      <c r="MIY136" s="17"/>
      <c r="MIZ136" s="17"/>
      <c r="MJA136" s="17"/>
      <c r="MJB136" s="17"/>
      <c r="MJC136" s="17"/>
      <c r="MJD136" s="17"/>
      <c r="MJE136" s="17"/>
      <c r="MJF136" s="17"/>
      <c r="MJG136" s="17"/>
      <c r="MJH136" s="17"/>
      <c r="MJI136" s="17"/>
      <c r="MJJ136" s="17"/>
      <c r="MJK136" s="17"/>
      <c r="MJL136" s="17"/>
      <c r="MJM136" s="17"/>
      <c r="MJN136" s="17"/>
      <c r="MJO136" s="17"/>
      <c r="MJP136" s="17"/>
      <c r="MJQ136" s="17"/>
      <c r="MJR136" s="17"/>
      <c r="MJS136" s="17"/>
      <c r="MJT136" s="17"/>
      <c r="MJU136" s="17"/>
      <c r="MJV136" s="17"/>
      <c r="MJW136" s="17"/>
      <c r="MJX136" s="17"/>
      <c r="MJY136" s="17"/>
      <c r="MJZ136" s="17"/>
      <c r="MKA136" s="17"/>
      <c r="MKB136" s="17"/>
      <c r="MKC136" s="17"/>
      <c r="MKD136" s="17"/>
      <c r="MKE136" s="17"/>
      <c r="MKF136" s="17"/>
      <c r="MKG136" s="17"/>
      <c r="MKH136" s="17"/>
      <c r="MKI136" s="17"/>
      <c r="MKJ136" s="17"/>
      <c r="MKK136" s="17"/>
      <c r="MKL136" s="17"/>
      <c r="MKM136" s="17"/>
      <c r="MKN136" s="17"/>
      <c r="MKO136" s="17"/>
      <c r="MKP136" s="17"/>
      <c r="MKQ136" s="17"/>
      <c r="MKR136" s="17"/>
      <c r="MKS136" s="17"/>
      <c r="MKT136" s="17"/>
      <c r="MKU136" s="17"/>
      <c r="MKV136" s="17"/>
      <c r="MKW136" s="17"/>
      <c r="MKX136" s="17"/>
      <c r="MKY136" s="17"/>
      <c r="MKZ136" s="17"/>
      <c r="MLA136" s="17"/>
      <c r="MLB136" s="17"/>
      <c r="MLC136" s="17"/>
      <c r="MLD136" s="17"/>
      <c r="MLE136" s="17"/>
      <c r="MLF136" s="17"/>
      <c r="MLG136" s="17"/>
      <c r="MLH136" s="17"/>
      <c r="MLI136" s="17"/>
      <c r="MLJ136" s="17"/>
      <c r="MLK136" s="17"/>
      <c r="MLL136" s="17"/>
      <c r="MLM136" s="17"/>
      <c r="MLN136" s="17"/>
      <c r="MLO136" s="17"/>
      <c r="MLP136" s="17"/>
      <c r="MLQ136" s="17"/>
      <c r="MLR136" s="17"/>
      <c r="MLS136" s="17"/>
      <c r="MLT136" s="17"/>
      <c r="MLU136" s="17"/>
      <c r="MLV136" s="17"/>
      <c r="MLW136" s="17"/>
      <c r="MLX136" s="17"/>
      <c r="MLY136" s="17"/>
      <c r="MLZ136" s="17"/>
      <c r="MMA136" s="17"/>
      <c r="MMB136" s="17"/>
      <c r="MMC136" s="17"/>
      <c r="MMD136" s="17"/>
      <c r="MME136" s="17"/>
      <c r="MMF136" s="17"/>
      <c r="MMG136" s="17"/>
      <c r="MMH136" s="17"/>
      <c r="MMI136" s="17"/>
      <c r="MMJ136" s="17"/>
      <c r="MMK136" s="17"/>
      <c r="MML136" s="17"/>
      <c r="MMM136" s="17"/>
      <c r="MMN136" s="17"/>
      <c r="MMO136" s="17"/>
      <c r="MMP136" s="17"/>
      <c r="MMQ136" s="17"/>
      <c r="MMR136" s="17"/>
      <c r="MMS136" s="17"/>
      <c r="MMT136" s="17"/>
      <c r="MMU136" s="17"/>
      <c r="MMV136" s="17"/>
      <c r="MMW136" s="17"/>
      <c r="MMX136" s="17"/>
      <c r="MMY136" s="17"/>
      <c r="MMZ136" s="17"/>
      <c r="MNA136" s="17"/>
      <c r="MNB136" s="17"/>
      <c r="MNC136" s="17"/>
      <c r="MND136" s="17"/>
      <c r="MNE136" s="17"/>
      <c r="MNF136" s="17"/>
      <c r="MNG136" s="17"/>
      <c r="MNH136" s="17"/>
      <c r="MNI136" s="17"/>
      <c r="MNJ136" s="17"/>
      <c r="MNK136" s="17"/>
      <c r="MNL136" s="17"/>
      <c r="MNM136" s="17"/>
      <c r="MNN136" s="17"/>
      <c r="MNO136" s="17"/>
      <c r="MNP136" s="17"/>
      <c r="MNQ136" s="17"/>
      <c r="MNR136" s="17"/>
      <c r="MNS136" s="17"/>
      <c r="MNT136" s="17"/>
      <c r="MNU136" s="17"/>
      <c r="MNV136" s="17"/>
      <c r="MNW136" s="17"/>
      <c r="MNX136" s="17"/>
      <c r="MNY136" s="17"/>
      <c r="MNZ136" s="17"/>
      <c r="MOA136" s="17"/>
      <c r="MOB136" s="17"/>
      <c r="MOC136" s="17"/>
      <c r="MOD136" s="17"/>
      <c r="MOE136" s="17"/>
      <c r="MOF136" s="17"/>
      <c r="MOG136" s="17"/>
      <c r="MOH136" s="17"/>
      <c r="MOI136" s="17"/>
      <c r="MOJ136" s="17"/>
      <c r="MOK136" s="17"/>
      <c r="MOL136" s="17"/>
      <c r="MOM136" s="17"/>
      <c r="MON136" s="17"/>
      <c r="MOO136" s="17"/>
      <c r="MOP136" s="17"/>
      <c r="MOQ136" s="17"/>
      <c r="MOR136" s="17"/>
      <c r="MOS136" s="17"/>
      <c r="MOT136" s="17"/>
      <c r="MOU136" s="17"/>
      <c r="MOV136" s="17"/>
      <c r="MOW136" s="17"/>
      <c r="MOX136" s="17"/>
      <c r="MOY136" s="17"/>
      <c r="MOZ136" s="17"/>
      <c r="MPA136" s="17"/>
      <c r="MPB136" s="17"/>
      <c r="MPC136" s="17"/>
      <c r="MPD136" s="17"/>
      <c r="MPE136" s="17"/>
      <c r="MPF136" s="17"/>
      <c r="MPG136" s="17"/>
      <c r="MPH136" s="17"/>
      <c r="MPI136" s="17"/>
      <c r="MPJ136" s="17"/>
      <c r="MPK136" s="17"/>
      <c r="MPL136" s="17"/>
      <c r="MPM136" s="17"/>
      <c r="MPN136" s="17"/>
      <c r="MPO136" s="17"/>
      <c r="MPP136" s="17"/>
      <c r="MPQ136" s="17"/>
      <c r="MPR136" s="17"/>
      <c r="MPS136" s="17"/>
      <c r="MPT136" s="17"/>
      <c r="MPU136" s="17"/>
      <c r="MPV136" s="17"/>
      <c r="MPW136" s="17"/>
      <c r="MPX136" s="17"/>
      <c r="MPY136" s="17"/>
      <c r="MPZ136" s="17"/>
      <c r="MQA136" s="17"/>
      <c r="MQB136" s="17"/>
      <c r="MQC136" s="17"/>
      <c r="MQD136" s="17"/>
      <c r="MQE136" s="17"/>
      <c r="MQF136" s="17"/>
      <c r="MQG136" s="17"/>
      <c r="MQH136" s="17"/>
      <c r="MQI136" s="17"/>
      <c r="MQJ136" s="17"/>
      <c r="MQK136" s="17"/>
      <c r="MQL136" s="17"/>
      <c r="MQM136" s="17"/>
      <c r="MQN136" s="17"/>
      <c r="MQO136" s="17"/>
      <c r="MQP136" s="17"/>
      <c r="MQQ136" s="17"/>
      <c r="MQR136" s="17"/>
      <c r="MQS136" s="17"/>
      <c r="MQT136" s="17"/>
      <c r="MQU136" s="17"/>
      <c r="MQV136" s="17"/>
      <c r="MQW136" s="17"/>
      <c r="MQX136" s="17"/>
      <c r="MQY136" s="17"/>
      <c r="MQZ136" s="17"/>
      <c r="MRA136" s="17"/>
      <c r="MRB136" s="17"/>
      <c r="MRC136" s="17"/>
      <c r="MRD136" s="17"/>
      <c r="MRE136" s="17"/>
      <c r="MRF136" s="17"/>
      <c r="MRG136" s="17"/>
      <c r="MRH136" s="17"/>
      <c r="MRI136" s="17"/>
      <c r="MRJ136" s="17"/>
      <c r="MRK136" s="17"/>
      <c r="MRL136" s="17"/>
      <c r="MRM136" s="17"/>
      <c r="MRN136" s="17"/>
      <c r="MRO136" s="17"/>
      <c r="MRP136" s="17"/>
      <c r="MRQ136" s="17"/>
      <c r="MRR136" s="17"/>
      <c r="MRS136" s="17"/>
      <c r="MRT136" s="17"/>
      <c r="MRU136" s="17"/>
      <c r="MRV136" s="17"/>
      <c r="MRW136" s="17"/>
      <c r="MRX136" s="17"/>
      <c r="MRY136" s="17"/>
      <c r="MRZ136" s="17"/>
      <c r="MSA136" s="17"/>
      <c r="MSB136" s="17"/>
      <c r="MSC136" s="17"/>
      <c r="MSD136" s="17"/>
      <c r="MSE136" s="17"/>
      <c r="MSF136" s="17"/>
      <c r="MSG136" s="17"/>
      <c r="MSH136" s="17"/>
      <c r="MSI136" s="17"/>
      <c r="MSJ136" s="17"/>
      <c r="MSK136" s="17"/>
      <c r="MSL136" s="17"/>
      <c r="MSM136" s="17"/>
      <c r="MSN136" s="17"/>
      <c r="MSO136" s="17"/>
      <c r="MSP136" s="17"/>
      <c r="MSQ136" s="17"/>
      <c r="MSR136" s="17"/>
      <c r="MSS136" s="17"/>
      <c r="MST136" s="17"/>
      <c r="MSU136" s="17"/>
      <c r="MSV136" s="17"/>
      <c r="MSW136" s="17"/>
      <c r="MSX136" s="17"/>
      <c r="MSY136" s="17"/>
      <c r="MSZ136" s="17"/>
      <c r="MTA136" s="17"/>
      <c r="MTB136" s="17"/>
      <c r="MTC136" s="17"/>
      <c r="MTD136" s="17"/>
      <c r="MTE136" s="17"/>
      <c r="MTF136" s="17"/>
      <c r="MTG136" s="17"/>
      <c r="MTH136" s="17"/>
      <c r="MTI136" s="17"/>
      <c r="MTJ136" s="17"/>
      <c r="MTK136" s="17"/>
      <c r="MTL136" s="17"/>
      <c r="MTM136" s="17"/>
      <c r="MTN136" s="17"/>
      <c r="MTO136" s="17"/>
      <c r="MTP136" s="17"/>
      <c r="MTQ136" s="17"/>
      <c r="MTR136" s="17"/>
      <c r="MTS136" s="17"/>
      <c r="MTT136" s="17"/>
      <c r="MTU136" s="17"/>
      <c r="MTV136" s="17"/>
      <c r="MTW136" s="17"/>
      <c r="MTX136" s="17"/>
      <c r="MTY136" s="17"/>
      <c r="MTZ136" s="17"/>
      <c r="MUA136" s="17"/>
      <c r="MUB136" s="17"/>
      <c r="MUC136" s="17"/>
      <c r="MUD136" s="17"/>
      <c r="MUE136" s="17"/>
      <c r="MUF136" s="17"/>
      <c r="MUG136" s="17"/>
      <c r="MUH136" s="17"/>
      <c r="MUI136" s="17"/>
      <c r="MUJ136" s="17"/>
      <c r="MUK136" s="17"/>
      <c r="MUL136" s="17"/>
      <c r="MUM136" s="17"/>
      <c r="MUN136" s="17"/>
      <c r="MUO136" s="17"/>
      <c r="MUP136" s="17"/>
      <c r="MUQ136" s="17"/>
      <c r="MUR136" s="17"/>
      <c r="MUS136" s="17"/>
      <c r="MUT136" s="17"/>
      <c r="MUU136" s="17"/>
      <c r="MUV136" s="17"/>
      <c r="MUW136" s="17"/>
      <c r="MUX136" s="17"/>
      <c r="MUY136" s="17"/>
      <c r="MUZ136" s="17"/>
      <c r="MVA136" s="17"/>
      <c r="MVB136" s="17"/>
      <c r="MVC136" s="17"/>
      <c r="MVD136" s="17"/>
      <c r="MVE136" s="17"/>
      <c r="MVF136" s="17"/>
      <c r="MVG136" s="17"/>
      <c r="MVH136" s="17"/>
      <c r="MVI136" s="17"/>
      <c r="MVJ136" s="17"/>
      <c r="MVK136" s="17"/>
      <c r="MVL136" s="17"/>
      <c r="MVM136" s="17"/>
      <c r="MVN136" s="17"/>
      <c r="MVO136" s="17"/>
      <c r="MVP136" s="17"/>
      <c r="MVQ136" s="17"/>
      <c r="MVR136" s="17"/>
      <c r="MVS136" s="17"/>
      <c r="MVT136" s="17"/>
      <c r="MVU136" s="17"/>
      <c r="MVV136" s="17"/>
      <c r="MVW136" s="17"/>
      <c r="MVX136" s="17"/>
      <c r="MVY136" s="17"/>
      <c r="MVZ136" s="17"/>
      <c r="MWA136" s="17"/>
      <c r="MWB136" s="17"/>
      <c r="MWC136" s="17"/>
      <c r="MWD136" s="17"/>
      <c r="MWE136" s="17"/>
      <c r="MWF136" s="17"/>
      <c r="MWG136" s="17"/>
      <c r="MWH136" s="17"/>
      <c r="MWI136" s="17"/>
      <c r="MWJ136" s="17"/>
      <c r="MWK136" s="17"/>
      <c r="MWL136" s="17"/>
      <c r="MWM136" s="17"/>
      <c r="MWN136" s="17"/>
      <c r="MWO136" s="17"/>
      <c r="MWP136" s="17"/>
      <c r="MWQ136" s="17"/>
      <c r="MWR136" s="17"/>
      <c r="MWS136" s="17"/>
      <c r="MWT136" s="17"/>
      <c r="MWU136" s="17"/>
      <c r="MWV136" s="17"/>
      <c r="MWW136" s="17"/>
      <c r="MWX136" s="17"/>
      <c r="MWY136" s="17"/>
      <c r="MWZ136" s="17"/>
      <c r="MXA136" s="17"/>
      <c r="MXB136" s="17"/>
      <c r="MXC136" s="17"/>
      <c r="MXD136" s="17"/>
      <c r="MXE136" s="17"/>
      <c r="MXF136" s="17"/>
      <c r="MXG136" s="17"/>
      <c r="MXH136" s="17"/>
      <c r="MXI136" s="17"/>
      <c r="MXJ136" s="17"/>
      <c r="MXK136" s="17"/>
      <c r="MXL136" s="17"/>
      <c r="MXM136" s="17"/>
      <c r="MXN136" s="17"/>
      <c r="MXO136" s="17"/>
      <c r="MXP136" s="17"/>
      <c r="MXQ136" s="17"/>
      <c r="MXR136" s="17"/>
      <c r="MXS136" s="17"/>
      <c r="MXT136" s="17"/>
      <c r="MXU136" s="17"/>
      <c r="MXV136" s="17"/>
      <c r="MXW136" s="17"/>
      <c r="MXX136" s="17"/>
      <c r="MXY136" s="17"/>
      <c r="MXZ136" s="17"/>
      <c r="MYA136" s="17"/>
      <c r="MYB136" s="17"/>
      <c r="MYC136" s="17"/>
      <c r="MYD136" s="17"/>
      <c r="MYE136" s="17"/>
      <c r="MYF136" s="17"/>
      <c r="MYG136" s="17"/>
      <c r="MYH136" s="17"/>
      <c r="MYI136" s="17"/>
      <c r="MYJ136" s="17"/>
      <c r="MYK136" s="17"/>
      <c r="MYL136" s="17"/>
      <c r="MYM136" s="17"/>
      <c r="MYN136" s="17"/>
      <c r="MYO136" s="17"/>
      <c r="MYP136" s="17"/>
      <c r="MYQ136" s="17"/>
      <c r="MYR136" s="17"/>
      <c r="MYS136" s="17"/>
      <c r="MYT136" s="17"/>
      <c r="MYU136" s="17"/>
      <c r="MYV136" s="17"/>
      <c r="MYW136" s="17"/>
      <c r="MYX136" s="17"/>
      <c r="MYY136" s="17"/>
      <c r="MYZ136" s="17"/>
      <c r="MZA136" s="17"/>
      <c r="MZB136" s="17"/>
      <c r="MZC136" s="17"/>
      <c r="MZD136" s="17"/>
      <c r="MZE136" s="17"/>
      <c r="MZF136" s="17"/>
      <c r="MZG136" s="17"/>
      <c r="MZH136" s="17"/>
      <c r="MZI136" s="17"/>
      <c r="MZJ136" s="17"/>
      <c r="MZK136" s="17"/>
      <c r="MZL136" s="17"/>
      <c r="MZM136" s="17"/>
      <c r="MZN136" s="17"/>
      <c r="MZO136" s="17"/>
      <c r="MZP136" s="17"/>
      <c r="MZQ136" s="17"/>
      <c r="MZR136" s="17"/>
      <c r="MZS136" s="17"/>
      <c r="MZT136" s="17"/>
      <c r="MZU136" s="17"/>
      <c r="MZV136" s="17"/>
      <c r="MZW136" s="17"/>
      <c r="MZX136" s="17"/>
      <c r="MZY136" s="17"/>
      <c r="MZZ136" s="17"/>
      <c r="NAA136" s="17"/>
      <c r="NAB136" s="17"/>
      <c r="NAC136" s="17"/>
      <c r="NAD136" s="17"/>
      <c r="NAE136" s="17"/>
      <c r="NAF136" s="17"/>
      <c r="NAG136" s="17"/>
      <c r="NAH136" s="17"/>
      <c r="NAI136" s="17"/>
      <c r="NAJ136" s="17"/>
      <c r="NAK136" s="17"/>
      <c r="NAL136" s="17"/>
      <c r="NAM136" s="17"/>
      <c r="NAN136" s="17"/>
      <c r="NAO136" s="17"/>
      <c r="NAP136" s="17"/>
      <c r="NAQ136" s="17"/>
      <c r="NAR136" s="17"/>
      <c r="NAS136" s="17"/>
      <c r="NAT136" s="17"/>
      <c r="NAU136" s="17"/>
      <c r="NAV136" s="17"/>
      <c r="NAW136" s="17"/>
      <c r="NAX136" s="17"/>
      <c r="NAY136" s="17"/>
      <c r="NAZ136" s="17"/>
      <c r="NBA136" s="17"/>
      <c r="NBB136" s="17"/>
      <c r="NBC136" s="17"/>
      <c r="NBD136" s="17"/>
      <c r="NBE136" s="17"/>
      <c r="NBF136" s="17"/>
      <c r="NBG136" s="17"/>
      <c r="NBH136" s="17"/>
      <c r="NBI136" s="17"/>
      <c r="NBJ136" s="17"/>
      <c r="NBK136" s="17"/>
      <c r="NBL136" s="17"/>
      <c r="NBM136" s="17"/>
      <c r="NBN136" s="17"/>
      <c r="NBO136" s="17"/>
      <c r="NBP136" s="17"/>
      <c r="NBQ136" s="17"/>
      <c r="NBR136" s="17"/>
      <c r="NBS136" s="17"/>
      <c r="NBT136" s="17"/>
      <c r="NBU136" s="17"/>
      <c r="NBV136" s="17"/>
      <c r="NBW136" s="17"/>
      <c r="NBX136" s="17"/>
      <c r="NBY136" s="17"/>
      <c r="NBZ136" s="17"/>
      <c r="NCA136" s="17"/>
      <c r="NCB136" s="17"/>
      <c r="NCC136" s="17"/>
      <c r="NCD136" s="17"/>
      <c r="NCE136" s="17"/>
      <c r="NCF136" s="17"/>
      <c r="NCG136" s="17"/>
      <c r="NCH136" s="17"/>
      <c r="NCI136" s="17"/>
      <c r="NCJ136" s="17"/>
      <c r="NCK136" s="17"/>
      <c r="NCL136" s="17"/>
      <c r="NCM136" s="17"/>
      <c r="NCN136" s="17"/>
      <c r="NCO136" s="17"/>
      <c r="NCP136" s="17"/>
      <c r="NCQ136" s="17"/>
      <c r="NCR136" s="17"/>
      <c r="NCS136" s="17"/>
      <c r="NCT136" s="17"/>
      <c r="NCU136" s="17"/>
      <c r="NCV136" s="17"/>
      <c r="NCW136" s="17"/>
      <c r="NCX136" s="17"/>
      <c r="NCY136" s="17"/>
      <c r="NCZ136" s="17"/>
      <c r="NDA136" s="17"/>
      <c r="NDB136" s="17"/>
      <c r="NDC136" s="17"/>
      <c r="NDD136" s="17"/>
      <c r="NDE136" s="17"/>
      <c r="NDF136" s="17"/>
      <c r="NDG136" s="17"/>
      <c r="NDH136" s="17"/>
      <c r="NDI136" s="17"/>
      <c r="NDJ136" s="17"/>
      <c r="NDK136" s="17"/>
      <c r="NDL136" s="17"/>
      <c r="NDM136" s="17"/>
      <c r="NDN136" s="17"/>
      <c r="NDO136" s="17"/>
      <c r="NDP136" s="17"/>
      <c r="NDQ136" s="17"/>
      <c r="NDR136" s="17"/>
      <c r="NDS136" s="17"/>
      <c r="NDT136" s="17"/>
      <c r="NDU136" s="17"/>
      <c r="NDV136" s="17"/>
      <c r="NDW136" s="17"/>
      <c r="NDX136" s="17"/>
      <c r="NDY136" s="17"/>
      <c r="NDZ136" s="17"/>
      <c r="NEA136" s="17"/>
      <c r="NEB136" s="17"/>
      <c r="NEC136" s="17"/>
      <c r="NED136" s="17"/>
      <c r="NEE136" s="17"/>
      <c r="NEF136" s="17"/>
      <c r="NEG136" s="17"/>
      <c r="NEH136" s="17"/>
      <c r="NEI136" s="17"/>
      <c r="NEJ136" s="17"/>
      <c r="NEK136" s="17"/>
      <c r="NEL136" s="17"/>
      <c r="NEM136" s="17"/>
      <c r="NEN136" s="17"/>
      <c r="NEO136" s="17"/>
      <c r="NEP136" s="17"/>
      <c r="NEQ136" s="17"/>
      <c r="NER136" s="17"/>
      <c r="NES136" s="17"/>
      <c r="NET136" s="17"/>
      <c r="NEU136" s="17"/>
      <c r="NEV136" s="17"/>
      <c r="NEW136" s="17"/>
      <c r="NEX136" s="17"/>
      <c r="NEY136" s="17"/>
      <c r="NEZ136" s="17"/>
      <c r="NFA136" s="17"/>
      <c r="NFB136" s="17"/>
      <c r="NFC136" s="17"/>
      <c r="NFD136" s="17"/>
      <c r="NFE136" s="17"/>
      <c r="NFF136" s="17"/>
      <c r="NFG136" s="17"/>
      <c r="NFH136" s="17"/>
      <c r="NFI136" s="17"/>
      <c r="NFJ136" s="17"/>
      <c r="NFK136" s="17"/>
      <c r="NFL136" s="17"/>
      <c r="NFM136" s="17"/>
      <c r="NFN136" s="17"/>
      <c r="NFO136" s="17"/>
      <c r="NFP136" s="17"/>
      <c r="NFQ136" s="17"/>
      <c r="NFR136" s="17"/>
      <c r="NFS136" s="17"/>
      <c r="NFT136" s="17"/>
      <c r="NFU136" s="17"/>
      <c r="NFV136" s="17"/>
      <c r="NFW136" s="17"/>
      <c r="NFX136" s="17"/>
      <c r="NFY136" s="17"/>
      <c r="NFZ136" s="17"/>
      <c r="NGA136" s="17"/>
      <c r="NGB136" s="17"/>
      <c r="NGC136" s="17"/>
      <c r="NGD136" s="17"/>
      <c r="NGE136" s="17"/>
      <c r="NGF136" s="17"/>
      <c r="NGG136" s="17"/>
      <c r="NGH136" s="17"/>
      <c r="NGI136" s="17"/>
      <c r="NGJ136" s="17"/>
      <c r="NGK136" s="17"/>
      <c r="NGL136" s="17"/>
      <c r="NGM136" s="17"/>
      <c r="NGN136" s="17"/>
      <c r="NGO136" s="17"/>
      <c r="NGP136" s="17"/>
      <c r="NGQ136" s="17"/>
      <c r="NGR136" s="17"/>
      <c r="NGS136" s="17"/>
      <c r="NGT136" s="17"/>
      <c r="NGU136" s="17"/>
      <c r="NGV136" s="17"/>
      <c r="NGW136" s="17"/>
      <c r="NGX136" s="17"/>
      <c r="NGY136" s="17"/>
      <c r="NGZ136" s="17"/>
      <c r="NHA136" s="17"/>
      <c r="NHB136" s="17"/>
      <c r="NHC136" s="17"/>
      <c r="NHD136" s="17"/>
      <c r="NHE136" s="17"/>
      <c r="NHF136" s="17"/>
      <c r="NHG136" s="17"/>
      <c r="NHH136" s="17"/>
      <c r="NHI136" s="17"/>
      <c r="NHJ136" s="17"/>
      <c r="NHK136" s="17"/>
      <c r="NHL136" s="17"/>
      <c r="NHM136" s="17"/>
      <c r="NHN136" s="17"/>
      <c r="NHO136" s="17"/>
      <c r="NHP136" s="17"/>
      <c r="NHQ136" s="17"/>
      <c r="NHR136" s="17"/>
      <c r="NHS136" s="17"/>
      <c r="NHT136" s="17"/>
      <c r="NHU136" s="17"/>
      <c r="NHV136" s="17"/>
      <c r="NHW136" s="17"/>
      <c r="NHX136" s="17"/>
      <c r="NHY136" s="17"/>
      <c r="NHZ136" s="17"/>
      <c r="NIA136" s="17"/>
      <c r="NIB136" s="17"/>
      <c r="NIC136" s="17"/>
      <c r="NID136" s="17"/>
      <c r="NIE136" s="17"/>
      <c r="NIF136" s="17"/>
      <c r="NIG136" s="17"/>
      <c r="NIH136" s="17"/>
      <c r="NII136" s="17"/>
      <c r="NIJ136" s="17"/>
      <c r="NIK136" s="17"/>
      <c r="NIL136" s="17"/>
      <c r="NIM136" s="17"/>
      <c r="NIN136" s="17"/>
      <c r="NIO136" s="17"/>
      <c r="NIP136" s="17"/>
      <c r="NIQ136" s="17"/>
      <c r="NIR136" s="17"/>
      <c r="NIS136" s="17"/>
      <c r="NIT136" s="17"/>
      <c r="NIU136" s="17"/>
      <c r="NIV136" s="17"/>
      <c r="NIW136" s="17"/>
      <c r="NIX136" s="17"/>
      <c r="NIY136" s="17"/>
      <c r="NIZ136" s="17"/>
      <c r="NJA136" s="17"/>
      <c r="NJB136" s="17"/>
      <c r="NJC136" s="17"/>
      <c r="NJD136" s="17"/>
      <c r="NJE136" s="17"/>
      <c r="NJF136" s="17"/>
      <c r="NJG136" s="17"/>
      <c r="NJH136" s="17"/>
      <c r="NJI136" s="17"/>
      <c r="NJJ136" s="17"/>
      <c r="NJK136" s="17"/>
      <c r="NJL136" s="17"/>
      <c r="NJM136" s="17"/>
      <c r="NJN136" s="17"/>
      <c r="NJO136" s="17"/>
      <c r="NJP136" s="17"/>
      <c r="NJQ136" s="17"/>
      <c r="NJR136" s="17"/>
      <c r="NJS136" s="17"/>
      <c r="NJT136" s="17"/>
      <c r="NJU136" s="17"/>
      <c r="NJV136" s="17"/>
      <c r="NJW136" s="17"/>
      <c r="NJX136" s="17"/>
      <c r="NJY136" s="17"/>
      <c r="NJZ136" s="17"/>
      <c r="NKA136" s="17"/>
      <c r="NKB136" s="17"/>
      <c r="NKC136" s="17"/>
      <c r="NKD136" s="17"/>
      <c r="NKE136" s="17"/>
      <c r="NKF136" s="17"/>
      <c r="NKG136" s="17"/>
      <c r="NKH136" s="17"/>
      <c r="NKI136" s="17"/>
      <c r="NKJ136" s="17"/>
      <c r="NKK136" s="17"/>
      <c r="NKL136" s="17"/>
      <c r="NKM136" s="17"/>
      <c r="NKN136" s="17"/>
      <c r="NKO136" s="17"/>
      <c r="NKP136" s="17"/>
      <c r="NKQ136" s="17"/>
      <c r="NKR136" s="17"/>
      <c r="NKS136" s="17"/>
      <c r="NKT136" s="17"/>
      <c r="NKU136" s="17"/>
      <c r="NKV136" s="17"/>
      <c r="NKW136" s="17"/>
      <c r="NKX136" s="17"/>
      <c r="NKY136" s="17"/>
      <c r="NKZ136" s="17"/>
      <c r="NLA136" s="17"/>
      <c r="NLB136" s="17"/>
      <c r="NLC136" s="17"/>
      <c r="NLD136" s="17"/>
      <c r="NLE136" s="17"/>
      <c r="NLF136" s="17"/>
      <c r="NLG136" s="17"/>
      <c r="NLH136" s="17"/>
      <c r="NLI136" s="17"/>
      <c r="NLJ136" s="17"/>
      <c r="NLK136" s="17"/>
      <c r="NLL136" s="17"/>
      <c r="NLM136" s="17"/>
      <c r="NLN136" s="17"/>
      <c r="NLO136" s="17"/>
      <c r="NLP136" s="17"/>
      <c r="NLQ136" s="17"/>
      <c r="NLR136" s="17"/>
      <c r="NLS136" s="17"/>
      <c r="NLT136" s="17"/>
      <c r="NLU136" s="17"/>
      <c r="NLV136" s="17"/>
      <c r="NLW136" s="17"/>
      <c r="NLX136" s="17"/>
      <c r="NLY136" s="17"/>
      <c r="NLZ136" s="17"/>
      <c r="NMA136" s="17"/>
      <c r="NMB136" s="17"/>
      <c r="NMC136" s="17"/>
      <c r="NMD136" s="17"/>
      <c r="NME136" s="17"/>
      <c r="NMF136" s="17"/>
      <c r="NMG136" s="17"/>
      <c r="NMH136" s="17"/>
      <c r="NMI136" s="17"/>
      <c r="NMJ136" s="17"/>
      <c r="NMK136" s="17"/>
      <c r="NML136" s="17"/>
      <c r="NMM136" s="17"/>
      <c r="NMN136" s="17"/>
      <c r="NMO136" s="17"/>
      <c r="NMP136" s="17"/>
      <c r="NMQ136" s="17"/>
      <c r="NMR136" s="17"/>
      <c r="NMS136" s="17"/>
      <c r="NMT136" s="17"/>
      <c r="NMU136" s="17"/>
      <c r="NMV136" s="17"/>
      <c r="NMW136" s="17"/>
      <c r="NMX136" s="17"/>
      <c r="NMY136" s="17"/>
      <c r="NMZ136" s="17"/>
      <c r="NNA136" s="17"/>
      <c r="NNB136" s="17"/>
      <c r="NNC136" s="17"/>
      <c r="NND136" s="17"/>
      <c r="NNE136" s="17"/>
      <c r="NNF136" s="17"/>
      <c r="NNG136" s="17"/>
      <c r="NNH136" s="17"/>
      <c r="NNI136" s="17"/>
      <c r="NNJ136" s="17"/>
      <c r="NNK136" s="17"/>
      <c r="NNL136" s="17"/>
      <c r="NNM136" s="17"/>
      <c r="NNN136" s="17"/>
      <c r="NNO136" s="17"/>
      <c r="NNP136" s="17"/>
      <c r="NNQ136" s="17"/>
      <c r="NNR136" s="17"/>
      <c r="NNS136" s="17"/>
      <c r="NNT136" s="17"/>
      <c r="NNU136" s="17"/>
      <c r="NNV136" s="17"/>
      <c r="NNW136" s="17"/>
      <c r="NNX136" s="17"/>
      <c r="NNY136" s="17"/>
      <c r="NNZ136" s="17"/>
      <c r="NOA136" s="17"/>
      <c r="NOB136" s="17"/>
      <c r="NOC136" s="17"/>
      <c r="NOD136" s="17"/>
      <c r="NOE136" s="17"/>
      <c r="NOF136" s="17"/>
      <c r="NOG136" s="17"/>
      <c r="NOH136" s="17"/>
      <c r="NOI136" s="17"/>
      <c r="NOJ136" s="17"/>
      <c r="NOK136" s="17"/>
      <c r="NOL136" s="17"/>
      <c r="NOM136" s="17"/>
      <c r="NON136" s="17"/>
      <c r="NOO136" s="17"/>
      <c r="NOP136" s="17"/>
      <c r="NOQ136" s="17"/>
      <c r="NOR136" s="17"/>
      <c r="NOS136" s="17"/>
      <c r="NOT136" s="17"/>
      <c r="NOU136" s="17"/>
      <c r="NOV136" s="17"/>
      <c r="NOW136" s="17"/>
      <c r="NOX136" s="17"/>
      <c r="NOY136" s="17"/>
      <c r="NOZ136" s="17"/>
      <c r="NPA136" s="17"/>
      <c r="NPB136" s="17"/>
      <c r="NPC136" s="17"/>
      <c r="NPD136" s="17"/>
      <c r="NPE136" s="17"/>
      <c r="NPF136" s="17"/>
      <c r="NPG136" s="17"/>
      <c r="NPH136" s="17"/>
      <c r="NPI136" s="17"/>
      <c r="NPJ136" s="17"/>
      <c r="NPK136" s="17"/>
      <c r="NPL136" s="17"/>
      <c r="NPM136" s="17"/>
      <c r="NPN136" s="17"/>
      <c r="NPO136" s="17"/>
      <c r="NPP136" s="17"/>
      <c r="NPQ136" s="17"/>
      <c r="NPR136" s="17"/>
      <c r="NPS136" s="17"/>
      <c r="NPT136" s="17"/>
      <c r="NPU136" s="17"/>
      <c r="NPV136" s="17"/>
      <c r="NPW136" s="17"/>
      <c r="NPX136" s="17"/>
      <c r="NPY136" s="17"/>
      <c r="NPZ136" s="17"/>
      <c r="NQA136" s="17"/>
      <c r="NQB136" s="17"/>
      <c r="NQC136" s="17"/>
      <c r="NQD136" s="17"/>
      <c r="NQE136" s="17"/>
      <c r="NQF136" s="17"/>
      <c r="NQG136" s="17"/>
      <c r="NQH136" s="17"/>
      <c r="NQI136" s="17"/>
      <c r="NQJ136" s="17"/>
      <c r="NQK136" s="17"/>
      <c r="NQL136" s="17"/>
      <c r="NQM136" s="17"/>
      <c r="NQN136" s="17"/>
      <c r="NQO136" s="17"/>
      <c r="NQP136" s="17"/>
      <c r="NQQ136" s="17"/>
      <c r="NQR136" s="17"/>
      <c r="NQS136" s="17"/>
      <c r="NQT136" s="17"/>
      <c r="NQU136" s="17"/>
      <c r="NQV136" s="17"/>
      <c r="NQW136" s="17"/>
      <c r="NQX136" s="17"/>
      <c r="NQY136" s="17"/>
      <c r="NQZ136" s="17"/>
      <c r="NRA136" s="17"/>
      <c r="NRB136" s="17"/>
      <c r="NRC136" s="17"/>
      <c r="NRD136" s="17"/>
      <c r="NRE136" s="17"/>
      <c r="NRF136" s="17"/>
      <c r="NRG136" s="17"/>
      <c r="NRH136" s="17"/>
      <c r="NRI136" s="17"/>
      <c r="NRJ136" s="17"/>
      <c r="NRK136" s="17"/>
      <c r="NRL136" s="17"/>
      <c r="NRM136" s="17"/>
      <c r="NRN136" s="17"/>
      <c r="NRO136" s="17"/>
      <c r="NRP136" s="17"/>
      <c r="NRQ136" s="17"/>
      <c r="NRR136" s="17"/>
      <c r="NRS136" s="17"/>
      <c r="NRT136" s="17"/>
      <c r="NRU136" s="17"/>
      <c r="NRV136" s="17"/>
      <c r="NRW136" s="17"/>
      <c r="NRX136" s="17"/>
      <c r="NRY136" s="17"/>
      <c r="NRZ136" s="17"/>
      <c r="NSA136" s="17"/>
      <c r="NSB136" s="17"/>
      <c r="NSC136" s="17"/>
      <c r="NSD136" s="17"/>
      <c r="NSE136" s="17"/>
      <c r="NSF136" s="17"/>
      <c r="NSG136" s="17"/>
      <c r="NSH136" s="17"/>
      <c r="NSI136" s="17"/>
      <c r="NSJ136" s="17"/>
      <c r="NSK136" s="17"/>
      <c r="NSL136" s="17"/>
      <c r="NSM136" s="17"/>
      <c r="NSN136" s="17"/>
      <c r="NSO136" s="17"/>
      <c r="NSP136" s="17"/>
      <c r="NSQ136" s="17"/>
      <c r="NSR136" s="17"/>
      <c r="NSS136" s="17"/>
      <c r="NST136" s="17"/>
      <c r="NSU136" s="17"/>
      <c r="NSV136" s="17"/>
      <c r="NSW136" s="17"/>
      <c r="NSX136" s="17"/>
      <c r="NSY136" s="17"/>
      <c r="NSZ136" s="17"/>
      <c r="NTA136" s="17"/>
      <c r="NTB136" s="17"/>
      <c r="NTC136" s="17"/>
      <c r="NTD136" s="17"/>
      <c r="NTE136" s="17"/>
      <c r="NTF136" s="17"/>
      <c r="NTG136" s="17"/>
      <c r="NTH136" s="17"/>
      <c r="NTI136" s="17"/>
      <c r="NTJ136" s="17"/>
      <c r="NTK136" s="17"/>
      <c r="NTL136" s="17"/>
      <c r="NTM136" s="17"/>
      <c r="NTN136" s="17"/>
      <c r="NTO136" s="17"/>
      <c r="NTP136" s="17"/>
      <c r="NTQ136" s="17"/>
      <c r="NTR136" s="17"/>
      <c r="NTS136" s="17"/>
      <c r="NTT136" s="17"/>
      <c r="NTU136" s="17"/>
      <c r="NTV136" s="17"/>
      <c r="NTW136" s="17"/>
      <c r="NTX136" s="17"/>
      <c r="NTY136" s="17"/>
      <c r="NTZ136" s="17"/>
      <c r="NUA136" s="17"/>
      <c r="NUB136" s="17"/>
      <c r="NUC136" s="17"/>
      <c r="NUD136" s="17"/>
      <c r="NUE136" s="17"/>
      <c r="NUF136" s="17"/>
      <c r="NUG136" s="17"/>
      <c r="NUH136" s="17"/>
      <c r="NUI136" s="17"/>
      <c r="NUJ136" s="17"/>
      <c r="NUK136" s="17"/>
      <c r="NUL136" s="17"/>
      <c r="NUM136" s="17"/>
      <c r="NUN136" s="17"/>
      <c r="NUO136" s="17"/>
      <c r="NUP136" s="17"/>
      <c r="NUQ136" s="17"/>
      <c r="NUR136" s="17"/>
      <c r="NUS136" s="17"/>
      <c r="NUT136" s="17"/>
      <c r="NUU136" s="17"/>
      <c r="NUV136" s="17"/>
      <c r="NUW136" s="17"/>
      <c r="NUX136" s="17"/>
      <c r="NUY136" s="17"/>
      <c r="NUZ136" s="17"/>
      <c r="NVA136" s="17"/>
      <c r="NVB136" s="17"/>
      <c r="NVC136" s="17"/>
      <c r="NVD136" s="17"/>
      <c r="NVE136" s="17"/>
      <c r="NVF136" s="17"/>
      <c r="NVG136" s="17"/>
      <c r="NVH136" s="17"/>
      <c r="NVI136" s="17"/>
      <c r="NVJ136" s="17"/>
      <c r="NVK136" s="17"/>
      <c r="NVL136" s="17"/>
      <c r="NVM136" s="17"/>
      <c r="NVN136" s="17"/>
      <c r="NVO136" s="17"/>
      <c r="NVP136" s="17"/>
      <c r="NVQ136" s="17"/>
      <c r="NVR136" s="17"/>
      <c r="NVS136" s="17"/>
      <c r="NVT136" s="17"/>
      <c r="NVU136" s="17"/>
      <c r="NVV136" s="17"/>
      <c r="NVW136" s="17"/>
      <c r="NVX136" s="17"/>
      <c r="NVY136" s="17"/>
      <c r="NVZ136" s="17"/>
      <c r="NWA136" s="17"/>
      <c r="NWB136" s="17"/>
      <c r="NWC136" s="17"/>
      <c r="NWD136" s="17"/>
      <c r="NWE136" s="17"/>
      <c r="NWF136" s="17"/>
      <c r="NWG136" s="17"/>
      <c r="NWH136" s="17"/>
      <c r="NWI136" s="17"/>
      <c r="NWJ136" s="17"/>
      <c r="NWK136" s="17"/>
      <c r="NWL136" s="17"/>
      <c r="NWM136" s="17"/>
      <c r="NWN136" s="17"/>
      <c r="NWO136" s="17"/>
      <c r="NWP136" s="17"/>
      <c r="NWQ136" s="17"/>
      <c r="NWR136" s="17"/>
      <c r="NWS136" s="17"/>
      <c r="NWT136" s="17"/>
      <c r="NWU136" s="17"/>
      <c r="NWV136" s="17"/>
      <c r="NWW136" s="17"/>
      <c r="NWX136" s="17"/>
      <c r="NWY136" s="17"/>
      <c r="NWZ136" s="17"/>
      <c r="NXA136" s="17"/>
      <c r="NXB136" s="17"/>
      <c r="NXC136" s="17"/>
      <c r="NXD136" s="17"/>
      <c r="NXE136" s="17"/>
      <c r="NXF136" s="17"/>
      <c r="NXG136" s="17"/>
      <c r="NXH136" s="17"/>
      <c r="NXI136" s="17"/>
      <c r="NXJ136" s="17"/>
      <c r="NXK136" s="17"/>
      <c r="NXL136" s="17"/>
      <c r="NXM136" s="17"/>
      <c r="NXN136" s="17"/>
      <c r="NXO136" s="17"/>
      <c r="NXP136" s="17"/>
      <c r="NXQ136" s="17"/>
      <c r="NXR136" s="17"/>
      <c r="NXS136" s="17"/>
      <c r="NXT136" s="17"/>
      <c r="NXU136" s="17"/>
      <c r="NXV136" s="17"/>
      <c r="NXW136" s="17"/>
      <c r="NXX136" s="17"/>
      <c r="NXY136" s="17"/>
      <c r="NXZ136" s="17"/>
      <c r="NYA136" s="17"/>
      <c r="NYB136" s="17"/>
      <c r="NYC136" s="17"/>
      <c r="NYD136" s="17"/>
      <c r="NYE136" s="17"/>
      <c r="NYF136" s="17"/>
      <c r="NYG136" s="17"/>
      <c r="NYH136" s="17"/>
      <c r="NYI136" s="17"/>
      <c r="NYJ136" s="17"/>
      <c r="NYK136" s="17"/>
      <c r="NYL136" s="17"/>
      <c r="NYM136" s="17"/>
      <c r="NYN136" s="17"/>
      <c r="NYO136" s="17"/>
      <c r="NYP136" s="17"/>
      <c r="NYQ136" s="17"/>
      <c r="NYR136" s="17"/>
      <c r="NYS136" s="17"/>
      <c r="NYT136" s="17"/>
      <c r="NYU136" s="17"/>
      <c r="NYV136" s="17"/>
      <c r="NYW136" s="17"/>
      <c r="NYX136" s="17"/>
      <c r="NYY136" s="17"/>
      <c r="NYZ136" s="17"/>
      <c r="NZA136" s="17"/>
      <c r="NZB136" s="17"/>
      <c r="NZC136" s="17"/>
      <c r="NZD136" s="17"/>
      <c r="NZE136" s="17"/>
      <c r="NZF136" s="17"/>
      <c r="NZG136" s="17"/>
      <c r="NZH136" s="17"/>
      <c r="NZI136" s="17"/>
      <c r="NZJ136" s="17"/>
      <c r="NZK136" s="17"/>
      <c r="NZL136" s="17"/>
      <c r="NZM136" s="17"/>
      <c r="NZN136" s="17"/>
      <c r="NZO136" s="17"/>
      <c r="NZP136" s="17"/>
      <c r="NZQ136" s="17"/>
      <c r="NZR136" s="17"/>
      <c r="NZS136" s="17"/>
      <c r="NZT136" s="17"/>
      <c r="NZU136" s="17"/>
      <c r="NZV136" s="17"/>
      <c r="NZW136" s="17"/>
      <c r="NZX136" s="17"/>
      <c r="NZY136" s="17"/>
      <c r="NZZ136" s="17"/>
      <c r="OAA136" s="17"/>
      <c r="OAB136" s="17"/>
      <c r="OAC136" s="17"/>
      <c r="OAD136" s="17"/>
      <c r="OAE136" s="17"/>
      <c r="OAF136" s="17"/>
      <c r="OAG136" s="17"/>
      <c r="OAH136" s="17"/>
      <c r="OAI136" s="17"/>
      <c r="OAJ136" s="17"/>
      <c r="OAK136" s="17"/>
      <c r="OAL136" s="17"/>
      <c r="OAM136" s="17"/>
      <c r="OAN136" s="17"/>
      <c r="OAO136" s="17"/>
      <c r="OAP136" s="17"/>
      <c r="OAQ136" s="17"/>
      <c r="OAR136" s="17"/>
      <c r="OAS136" s="17"/>
      <c r="OAT136" s="17"/>
      <c r="OAU136" s="17"/>
      <c r="OAV136" s="17"/>
      <c r="OAW136" s="17"/>
      <c r="OAX136" s="17"/>
      <c r="OAY136" s="17"/>
      <c r="OAZ136" s="17"/>
      <c r="OBA136" s="17"/>
      <c r="OBB136" s="17"/>
      <c r="OBC136" s="17"/>
      <c r="OBD136" s="17"/>
      <c r="OBE136" s="17"/>
      <c r="OBF136" s="17"/>
      <c r="OBG136" s="17"/>
      <c r="OBH136" s="17"/>
      <c r="OBI136" s="17"/>
      <c r="OBJ136" s="17"/>
      <c r="OBK136" s="17"/>
      <c r="OBL136" s="17"/>
      <c r="OBM136" s="17"/>
      <c r="OBN136" s="17"/>
      <c r="OBO136" s="17"/>
      <c r="OBP136" s="17"/>
      <c r="OBQ136" s="17"/>
      <c r="OBR136" s="17"/>
      <c r="OBS136" s="17"/>
      <c r="OBT136" s="17"/>
      <c r="OBU136" s="17"/>
      <c r="OBV136" s="17"/>
      <c r="OBW136" s="17"/>
      <c r="OBX136" s="17"/>
      <c r="OBY136" s="17"/>
      <c r="OBZ136" s="17"/>
      <c r="OCA136" s="17"/>
      <c r="OCB136" s="17"/>
      <c r="OCC136" s="17"/>
      <c r="OCD136" s="17"/>
      <c r="OCE136" s="17"/>
      <c r="OCF136" s="17"/>
      <c r="OCG136" s="17"/>
      <c r="OCH136" s="17"/>
      <c r="OCI136" s="17"/>
      <c r="OCJ136" s="17"/>
      <c r="OCK136" s="17"/>
      <c r="OCL136" s="17"/>
      <c r="OCM136" s="17"/>
      <c r="OCN136" s="17"/>
      <c r="OCO136" s="17"/>
      <c r="OCP136" s="17"/>
      <c r="OCQ136" s="17"/>
      <c r="OCR136" s="17"/>
      <c r="OCS136" s="17"/>
      <c r="OCT136" s="17"/>
      <c r="OCU136" s="17"/>
      <c r="OCV136" s="17"/>
      <c r="OCW136" s="17"/>
      <c r="OCX136" s="17"/>
      <c r="OCY136" s="17"/>
      <c r="OCZ136" s="17"/>
      <c r="ODA136" s="17"/>
      <c r="ODB136" s="17"/>
      <c r="ODC136" s="17"/>
      <c r="ODD136" s="17"/>
      <c r="ODE136" s="17"/>
      <c r="ODF136" s="17"/>
      <c r="ODG136" s="17"/>
      <c r="ODH136" s="17"/>
      <c r="ODI136" s="17"/>
      <c r="ODJ136" s="17"/>
      <c r="ODK136" s="17"/>
      <c r="ODL136" s="17"/>
      <c r="ODM136" s="17"/>
      <c r="ODN136" s="17"/>
      <c r="ODO136" s="17"/>
      <c r="ODP136" s="17"/>
      <c r="ODQ136" s="17"/>
      <c r="ODR136" s="17"/>
      <c r="ODS136" s="17"/>
      <c r="ODT136" s="17"/>
      <c r="ODU136" s="17"/>
      <c r="ODV136" s="17"/>
      <c r="ODW136" s="17"/>
      <c r="ODX136" s="17"/>
      <c r="ODY136" s="17"/>
      <c r="ODZ136" s="17"/>
      <c r="OEA136" s="17"/>
      <c r="OEB136" s="17"/>
      <c r="OEC136" s="17"/>
      <c r="OED136" s="17"/>
      <c r="OEE136" s="17"/>
      <c r="OEF136" s="17"/>
      <c r="OEG136" s="17"/>
      <c r="OEH136" s="17"/>
      <c r="OEI136" s="17"/>
      <c r="OEJ136" s="17"/>
      <c r="OEK136" s="17"/>
      <c r="OEL136" s="17"/>
      <c r="OEM136" s="17"/>
      <c r="OEN136" s="17"/>
      <c r="OEO136" s="17"/>
      <c r="OEP136" s="17"/>
      <c r="OEQ136" s="17"/>
      <c r="OER136" s="17"/>
      <c r="OES136" s="17"/>
      <c r="OET136" s="17"/>
      <c r="OEU136" s="17"/>
      <c r="OEV136" s="17"/>
      <c r="OEW136" s="17"/>
      <c r="OEX136" s="17"/>
      <c r="OEY136" s="17"/>
      <c r="OEZ136" s="17"/>
      <c r="OFA136" s="17"/>
      <c r="OFB136" s="17"/>
      <c r="OFC136" s="17"/>
      <c r="OFD136" s="17"/>
      <c r="OFE136" s="17"/>
      <c r="OFF136" s="17"/>
      <c r="OFG136" s="17"/>
      <c r="OFH136" s="17"/>
      <c r="OFI136" s="17"/>
      <c r="OFJ136" s="17"/>
      <c r="OFK136" s="17"/>
      <c r="OFL136" s="17"/>
      <c r="OFM136" s="17"/>
      <c r="OFN136" s="17"/>
      <c r="OFO136" s="17"/>
      <c r="OFP136" s="17"/>
      <c r="OFQ136" s="17"/>
      <c r="OFR136" s="17"/>
      <c r="OFS136" s="17"/>
      <c r="OFT136" s="17"/>
      <c r="OFU136" s="17"/>
      <c r="OFV136" s="17"/>
      <c r="OFW136" s="17"/>
      <c r="OFX136" s="17"/>
      <c r="OFY136" s="17"/>
      <c r="OFZ136" s="17"/>
      <c r="OGA136" s="17"/>
      <c r="OGB136" s="17"/>
      <c r="OGC136" s="17"/>
      <c r="OGD136" s="17"/>
      <c r="OGE136" s="17"/>
      <c r="OGF136" s="17"/>
      <c r="OGG136" s="17"/>
      <c r="OGH136" s="17"/>
      <c r="OGI136" s="17"/>
      <c r="OGJ136" s="17"/>
      <c r="OGK136" s="17"/>
      <c r="OGL136" s="17"/>
      <c r="OGM136" s="17"/>
      <c r="OGN136" s="17"/>
      <c r="OGO136" s="17"/>
      <c r="OGP136" s="17"/>
      <c r="OGQ136" s="17"/>
      <c r="OGR136" s="17"/>
      <c r="OGS136" s="17"/>
      <c r="OGT136" s="17"/>
      <c r="OGU136" s="17"/>
      <c r="OGV136" s="17"/>
      <c r="OGW136" s="17"/>
      <c r="OGX136" s="17"/>
      <c r="OGY136" s="17"/>
      <c r="OGZ136" s="17"/>
      <c r="OHA136" s="17"/>
      <c r="OHB136" s="17"/>
      <c r="OHC136" s="17"/>
      <c r="OHD136" s="17"/>
      <c r="OHE136" s="17"/>
      <c r="OHF136" s="17"/>
      <c r="OHG136" s="17"/>
      <c r="OHH136" s="17"/>
      <c r="OHI136" s="17"/>
      <c r="OHJ136" s="17"/>
      <c r="OHK136" s="17"/>
      <c r="OHL136" s="17"/>
      <c r="OHM136" s="17"/>
      <c r="OHN136" s="17"/>
      <c r="OHO136" s="17"/>
      <c r="OHP136" s="17"/>
      <c r="OHQ136" s="17"/>
      <c r="OHR136" s="17"/>
      <c r="OHS136" s="17"/>
      <c r="OHT136" s="17"/>
      <c r="OHU136" s="17"/>
      <c r="OHV136" s="17"/>
      <c r="OHW136" s="17"/>
      <c r="OHX136" s="17"/>
      <c r="OHY136" s="17"/>
      <c r="OHZ136" s="17"/>
      <c r="OIA136" s="17"/>
      <c r="OIB136" s="17"/>
      <c r="OIC136" s="17"/>
      <c r="OID136" s="17"/>
      <c r="OIE136" s="17"/>
      <c r="OIF136" s="17"/>
      <c r="OIG136" s="17"/>
      <c r="OIH136" s="17"/>
      <c r="OII136" s="17"/>
      <c r="OIJ136" s="17"/>
      <c r="OIK136" s="17"/>
      <c r="OIL136" s="17"/>
      <c r="OIM136" s="17"/>
      <c r="OIN136" s="17"/>
      <c r="OIO136" s="17"/>
      <c r="OIP136" s="17"/>
      <c r="OIQ136" s="17"/>
      <c r="OIR136" s="17"/>
      <c r="OIS136" s="17"/>
      <c r="OIT136" s="17"/>
      <c r="OIU136" s="17"/>
      <c r="OIV136" s="17"/>
      <c r="OIW136" s="17"/>
      <c r="OIX136" s="17"/>
      <c r="OIY136" s="17"/>
      <c r="OIZ136" s="17"/>
      <c r="OJA136" s="17"/>
      <c r="OJB136" s="17"/>
      <c r="OJC136" s="17"/>
      <c r="OJD136" s="17"/>
      <c r="OJE136" s="17"/>
      <c r="OJF136" s="17"/>
      <c r="OJG136" s="17"/>
      <c r="OJH136" s="17"/>
      <c r="OJI136" s="17"/>
      <c r="OJJ136" s="17"/>
      <c r="OJK136" s="17"/>
      <c r="OJL136" s="17"/>
      <c r="OJM136" s="17"/>
      <c r="OJN136" s="17"/>
      <c r="OJO136" s="17"/>
      <c r="OJP136" s="17"/>
      <c r="OJQ136" s="17"/>
      <c r="OJR136" s="17"/>
      <c r="OJS136" s="17"/>
      <c r="OJT136" s="17"/>
      <c r="OJU136" s="17"/>
      <c r="OJV136" s="17"/>
      <c r="OJW136" s="17"/>
      <c r="OJX136" s="17"/>
      <c r="OJY136" s="17"/>
      <c r="OJZ136" s="17"/>
      <c r="OKA136" s="17"/>
      <c r="OKB136" s="17"/>
      <c r="OKC136" s="17"/>
      <c r="OKD136" s="17"/>
      <c r="OKE136" s="17"/>
      <c r="OKF136" s="17"/>
      <c r="OKG136" s="17"/>
      <c r="OKH136" s="17"/>
      <c r="OKI136" s="17"/>
      <c r="OKJ136" s="17"/>
      <c r="OKK136" s="17"/>
      <c r="OKL136" s="17"/>
      <c r="OKM136" s="17"/>
      <c r="OKN136" s="17"/>
      <c r="OKO136" s="17"/>
      <c r="OKP136" s="17"/>
      <c r="OKQ136" s="17"/>
      <c r="OKR136" s="17"/>
      <c r="OKS136" s="17"/>
      <c r="OKT136" s="17"/>
      <c r="OKU136" s="17"/>
      <c r="OKV136" s="17"/>
      <c r="OKW136" s="17"/>
      <c r="OKX136" s="17"/>
      <c r="OKY136" s="17"/>
      <c r="OKZ136" s="17"/>
      <c r="OLA136" s="17"/>
      <c r="OLB136" s="17"/>
      <c r="OLC136" s="17"/>
      <c r="OLD136" s="17"/>
      <c r="OLE136" s="17"/>
      <c r="OLF136" s="17"/>
      <c r="OLG136" s="17"/>
      <c r="OLH136" s="17"/>
      <c r="OLI136" s="17"/>
      <c r="OLJ136" s="17"/>
      <c r="OLK136" s="17"/>
      <c r="OLL136" s="17"/>
      <c r="OLM136" s="17"/>
      <c r="OLN136" s="17"/>
      <c r="OLO136" s="17"/>
      <c r="OLP136" s="17"/>
      <c r="OLQ136" s="17"/>
      <c r="OLR136" s="17"/>
      <c r="OLS136" s="17"/>
      <c r="OLT136" s="17"/>
      <c r="OLU136" s="17"/>
      <c r="OLV136" s="17"/>
      <c r="OLW136" s="17"/>
      <c r="OLX136" s="17"/>
      <c r="OLY136" s="17"/>
      <c r="OLZ136" s="17"/>
      <c r="OMA136" s="17"/>
      <c r="OMB136" s="17"/>
      <c r="OMC136" s="17"/>
      <c r="OMD136" s="17"/>
      <c r="OME136" s="17"/>
      <c r="OMF136" s="17"/>
      <c r="OMG136" s="17"/>
      <c r="OMH136" s="17"/>
      <c r="OMI136" s="17"/>
      <c r="OMJ136" s="17"/>
      <c r="OMK136" s="17"/>
      <c r="OML136" s="17"/>
      <c r="OMM136" s="17"/>
      <c r="OMN136" s="17"/>
      <c r="OMO136" s="17"/>
      <c r="OMP136" s="17"/>
      <c r="OMQ136" s="17"/>
      <c r="OMR136" s="17"/>
      <c r="OMS136" s="17"/>
      <c r="OMT136" s="17"/>
      <c r="OMU136" s="17"/>
      <c r="OMV136" s="17"/>
      <c r="OMW136" s="17"/>
      <c r="OMX136" s="17"/>
      <c r="OMY136" s="17"/>
      <c r="OMZ136" s="17"/>
      <c r="ONA136" s="17"/>
      <c r="ONB136" s="17"/>
      <c r="ONC136" s="17"/>
      <c r="OND136" s="17"/>
      <c r="ONE136" s="17"/>
      <c r="ONF136" s="17"/>
      <c r="ONG136" s="17"/>
      <c r="ONH136" s="17"/>
      <c r="ONI136" s="17"/>
      <c r="ONJ136" s="17"/>
      <c r="ONK136" s="17"/>
      <c r="ONL136" s="17"/>
      <c r="ONM136" s="17"/>
      <c r="ONN136" s="17"/>
      <c r="ONO136" s="17"/>
      <c r="ONP136" s="17"/>
      <c r="ONQ136" s="17"/>
      <c r="ONR136" s="17"/>
      <c r="ONS136" s="17"/>
      <c r="ONT136" s="17"/>
      <c r="ONU136" s="17"/>
      <c r="ONV136" s="17"/>
      <c r="ONW136" s="17"/>
      <c r="ONX136" s="17"/>
      <c r="ONY136" s="17"/>
      <c r="ONZ136" s="17"/>
      <c r="OOA136" s="17"/>
      <c r="OOB136" s="17"/>
      <c r="OOC136" s="17"/>
      <c r="OOD136" s="17"/>
      <c r="OOE136" s="17"/>
      <c r="OOF136" s="17"/>
      <c r="OOG136" s="17"/>
      <c r="OOH136" s="17"/>
      <c r="OOI136" s="17"/>
      <c r="OOJ136" s="17"/>
      <c r="OOK136" s="17"/>
      <c r="OOL136" s="17"/>
      <c r="OOM136" s="17"/>
      <c r="OON136" s="17"/>
      <c r="OOO136" s="17"/>
      <c r="OOP136" s="17"/>
      <c r="OOQ136" s="17"/>
      <c r="OOR136" s="17"/>
      <c r="OOS136" s="17"/>
      <c r="OOT136" s="17"/>
      <c r="OOU136" s="17"/>
      <c r="OOV136" s="17"/>
      <c r="OOW136" s="17"/>
      <c r="OOX136" s="17"/>
      <c r="OOY136" s="17"/>
      <c r="OOZ136" s="17"/>
      <c r="OPA136" s="17"/>
      <c r="OPB136" s="17"/>
      <c r="OPC136" s="17"/>
      <c r="OPD136" s="17"/>
      <c r="OPE136" s="17"/>
      <c r="OPF136" s="17"/>
      <c r="OPG136" s="17"/>
      <c r="OPH136" s="17"/>
      <c r="OPI136" s="17"/>
      <c r="OPJ136" s="17"/>
      <c r="OPK136" s="17"/>
      <c r="OPL136" s="17"/>
      <c r="OPM136" s="17"/>
      <c r="OPN136" s="17"/>
      <c r="OPO136" s="17"/>
      <c r="OPP136" s="17"/>
      <c r="OPQ136" s="17"/>
      <c r="OPR136" s="17"/>
      <c r="OPS136" s="17"/>
      <c r="OPT136" s="17"/>
      <c r="OPU136" s="17"/>
      <c r="OPV136" s="17"/>
      <c r="OPW136" s="17"/>
      <c r="OPX136" s="17"/>
      <c r="OPY136" s="17"/>
      <c r="OPZ136" s="17"/>
      <c r="OQA136" s="17"/>
      <c r="OQB136" s="17"/>
      <c r="OQC136" s="17"/>
      <c r="OQD136" s="17"/>
      <c r="OQE136" s="17"/>
      <c r="OQF136" s="17"/>
      <c r="OQG136" s="17"/>
      <c r="OQH136" s="17"/>
      <c r="OQI136" s="17"/>
      <c r="OQJ136" s="17"/>
      <c r="OQK136" s="17"/>
      <c r="OQL136" s="17"/>
      <c r="OQM136" s="17"/>
      <c r="OQN136" s="17"/>
      <c r="OQO136" s="17"/>
      <c r="OQP136" s="17"/>
      <c r="OQQ136" s="17"/>
      <c r="OQR136" s="17"/>
      <c r="OQS136" s="17"/>
      <c r="OQT136" s="17"/>
      <c r="OQU136" s="17"/>
      <c r="OQV136" s="17"/>
      <c r="OQW136" s="17"/>
      <c r="OQX136" s="17"/>
      <c r="OQY136" s="17"/>
      <c r="OQZ136" s="17"/>
      <c r="ORA136" s="17"/>
      <c r="ORB136" s="17"/>
      <c r="ORC136" s="17"/>
      <c r="ORD136" s="17"/>
      <c r="ORE136" s="17"/>
      <c r="ORF136" s="17"/>
      <c r="ORG136" s="17"/>
      <c r="ORH136" s="17"/>
      <c r="ORI136" s="17"/>
      <c r="ORJ136" s="17"/>
      <c r="ORK136" s="17"/>
      <c r="ORL136" s="17"/>
      <c r="ORM136" s="17"/>
      <c r="ORN136" s="17"/>
      <c r="ORO136" s="17"/>
      <c r="ORP136" s="17"/>
      <c r="ORQ136" s="17"/>
      <c r="ORR136" s="17"/>
      <c r="ORS136" s="17"/>
      <c r="ORT136" s="17"/>
      <c r="ORU136" s="17"/>
      <c r="ORV136" s="17"/>
      <c r="ORW136" s="17"/>
      <c r="ORX136" s="17"/>
      <c r="ORY136" s="17"/>
      <c r="ORZ136" s="17"/>
      <c r="OSA136" s="17"/>
      <c r="OSB136" s="17"/>
      <c r="OSC136" s="17"/>
      <c r="OSD136" s="17"/>
      <c r="OSE136" s="17"/>
      <c r="OSF136" s="17"/>
      <c r="OSG136" s="17"/>
      <c r="OSH136" s="17"/>
      <c r="OSI136" s="17"/>
      <c r="OSJ136" s="17"/>
      <c r="OSK136" s="17"/>
      <c r="OSL136" s="17"/>
      <c r="OSM136" s="17"/>
      <c r="OSN136" s="17"/>
      <c r="OSO136" s="17"/>
      <c r="OSP136" s="17"/>
      <c r="OSQ136" s="17"/>
      <c r="OSR136" s="17"/>
      <c r="OSS136" s="17"/>
      <c r="OST136" s="17"/>
      <c r="OSU136" s="17"/>
      <c r="OSV136" s="17"/>
      <c r="OSW136" s="17"/>
      <c r="OSX136" s="17"/>
      <c r="OSY136" s="17"/>
      <c r="OSZ136" s="17"/>
      <c r="OTA136" s="17"/>
      <c r="OTB136" s="17"/>
      <c r="OTC136" s="17"/>
      <c r="OTD136" s="17"/>
      <c r="OTE136" s="17"/>
      <c r="OTF136" s="17"/>
      <c r="OTG136" s="17"/>
      <c r="OTH136" s="17"/>
      <c r="OTI136" s="17"/>
      <c r="OTJ136" s="17"/>
      <c r="OTK136" s="17"/>
      <c r="OTL136" s="17"/>
      <c r="OTM136" s="17"/>
      <c r="OTN136" s="17"/>
      <c r="OTO136" s="17"/>
      <c r="OTP136" s="17"/>
      <c r="OTQ136" s="17"/>
      <c r="OTR136" s="17"/>
      <c r="OTS136" s="17"/>
      <c r="OTT136" s="17"/>
      <c r="OTU136" s="17"/>
      <c r="OTV136" s="17"/>
      <c r="OTW136" s="17"/>
      <c r="OTX136" s="17"/>
      <c r="OTY136" s="17"/>
      <c r="OTZ136" s="17"/>
      <c r="OUA136" s="17"/>
      <c r="OUB136" s="17"/>
      <c r="OUC136" s="17"/>
      <c r="OUD136" s="17"/>
      <c r="OUE136" s="17"/>
      <c r="OUF136" s="17"/>
      <c r="OUG136" s="17"/>
      <c r="OUH136" s="17"/>
      <c r="OUI136" s="17"/>
      <c r="OUJ136" s="17"/>
      <c r="OUK136" s="17"/>
      <c r="OUL136" s="17"/>
      <c r="OUM136" s="17"/>
      <c r="OUN136" s="17"/>
      <c r="OUO136" s="17"/>
      <c r="OUP136" s="17"/>
      <c r="OUQ136" s="17"/>
      <c r="OUR136" s="17"/>
      <c r="OUS136" s="17"/>
      <c r="OUT136" s="17"/>
      <c r="OUU136" s="17"/>
      <c r="OUV136" s="17"/>
      <c r="OUW136" s="17"/>
      <c r="OUX136" s="17"/>
      <c r="OUY136" s="17"/>
      <c r="OUZ136" s="17"/>
      <c r="OVA136" s="17"/>
      <c r="OVB136" s="17"/>
      <c r="OVC136" s="17"/>
      <c r="OVD136" s="17"/>
      <c r="OVE136" s="17"/>
      <c r="OVF136" s="17"/>
      <c r="OVG136" s="17"/>
      <c r="OVH136" s="17"/>
      <c r="OVI136" s="17"/>
      <c r="OVJ136" s="17"/>
      <c r="OVK136" s="17"/>
      <c r="OVL136" s="17"/>
      <c r="OVM136" s="17"/>
      <c r="OVN136" s="17"/>
      <c r="OVO136" s="17"/>
      <c r="OVP136" s="17"/>
      <c r="OVQ136" s="17"/>
      <c r="OVR136" s="17"/>
      <c r="OVS136" s="17"/>
      <c r="OVT136" s="17"/>
      <c r="OVU136" s="17"/>
      <c r="OVV136" s="17"/>
      <c r="OVW136" s="17"/>
      <c r="OVX136" s="17"/>
      <c r="OVY136" s="17"/>
      <c r="OVZ136" s="17"/>
      <c r="OWA136" s="17"/>
      <c r="OWB136" s="17"/>
      <c r="OWC136" s="17"/>
      <c r="OWD136" s="17"/>
      <c r="OWE136" s="17"/>
      <c r="OWF136" s="17"/>
      <c r="OWG136" s="17"/>
      <c r="OWH136" s="17"/>
      <c r="OWI136" s="17"/>
      <c r="OWJ136" s="17"/>
      <c r="OWK136" s="17"/>
      <c r="OWL136" s="17"/>
      <c r="OWM136" s="17"/>
      <c r="OWN136" s="17"/>
      <c r="OWO136" s="17"/>
      <c r="OWP136" s="17"/>
      <c r="OWQ136" s="17"/>
      <c r="OWR136" s="17"/>
      <c r="OWS136" s="17"/>
      <c r="OWT136" s="17"/>
      <c r="OWU136" s="17"/>
      <c r="OWV136" s="17"/>
      <c r="OWW136" s="17"/>
      <c r="OWX136" s="17"/>
      <c r="OWY136" s="17"/>
      <c r="OWZ136" s="17"/>
      <c r="OXA136" s="17"/>
      <c r="OXB136" s="17"/>
      <c r="OXC136" s="17"/>
      <c r="OXD136" s="17"/>
      <c r="OXE136" s="17"/>
      <c r="OXF136" s="17"/>
      <c r="OXG136" s="17"/>
      <c r="OXH136" s="17"/>
      <c r="OXI136" s="17"/>
      <c r="OXJ136" s="17"/>
      <c r="OXK136" s="17"/>
      <c r="OXL136" s="17"/>
      <c r="OXM136" s="17"/>
      <c r="OXN136" s="17"/>
      <c r="OXO136" s="17"/>
      <c r="OXP136" s="17"/>
      <c r="OXQ136" s="17"/>
      <c r="OXR136" s="17"/>
      <c r="OXS136" s="17"/>
      <c r="OXT136" s="17"/>
      <c r="OXU136" s="17"/>
      <c r="OXV136" s="17"/>
      <c r="OXW136" s="17"/>
      <c r="OXX136" s="17"/>
      <c r="OXY136" s="17"/>
      <c r="OXZ136" s="17"/>
      <c r="OYA136" s="17"/>
      <c r="OYB136" s="17"/>
      <c r="OYC136" s="17"/>
      <c r="OYD136" s="17"/>
      <c r="OYE136" s="17"/>
      <c r="OYF136" s="17"/>
      <c r="OYG136" s="17"/>
      <c r="OYH136" s="17"/>
      <c r="OYI136" s="17"/>
      <c r="OYJ136" s="17"/>
      <c r="OYK136" s="17"/>
      <c r="OYL136" s="17"/>
      <c r="OYM136" s="17"/>
      <c r="OYN136" s="17"/>
      <c r="OYO136" s="17"/>
      <c r="OYP136" s="17"/>
      <c r="OYQ136" s="17"/>
      <c r="OYR136" s="17"/>
      <c r="OYS136" s="17"/>
      <c r="OYT136" s="17"/>
      <c r="OYU136" s="17"/>
      <c r="OYV136" s="17"/>
      <c r="OYW136" s="17"/>
      <c r="OYX136" s="17"/>
      <c r="OYY136" s="17"/>
      <c r="OYZ136" s="17"/>
      <c r="OZA136" s="17"/>
      <c r="OZB136" s="17"/>
      <c r="OZC136" s="17"/>
      <c r="OZD136" s="17"/>
      <c r="OZE136" s="17"/>
      <c r="OZF136" s="17"/>
      <c r="OZG136" s="17"/>
      <c r="OZH136" s="17"/>
      <c r="OZI136" s="17"/>
      <c r="OZJ136" s="17"/>
      <c r="OZK136" s="17"/>
      <c r="OZL136" s="17"/>
      <c r="OZM136" s="17"/>
      <c r="OZN136" s="17"/>
      <c r="OZO136" s="17"/>
      <c r="OZP136" s="17"/>
      <c r="OZQ136" s="17"/>
      <c r="OZR136" s="17"/>
      <c r="OZS136" s="17"/>
      <c r="OZT136" s="17"/>
      <c r="OZU136" s="17"/>
      <c r="OZV136" s="17"/>
      <c r="OZW136" s="17"/>
      <c r="OZX136" s="17"/>
      <c r="OZY136" s="17"/>
      <c r="OZZ136" s="17"/>
      <c r="PAA136" s="17"/>
      <c r="PAB136" s="17"/>
      <c r="PAC136" s="17"/>
      <c r="PAD136" s="17"/>
      <c r="PAE136" s="17"/>
      <c r="PAF136" s="17"/>
      <c r="PAG136" s="17"/>
      <c r="PAH136" s="17"/>
      <c r="PAI136" s="17"/>
      <c r="PAJ136" s="17"/>
      <c r="PAK136" s="17"/>
      <c r="PAL136" s="17"/>
      <c r="PAM136" s="17"/>
      <c r="PAN136" s="17"/>
      <c r="PAO136" s="17"/>
      <c r="PAP136" s="17"/>
      <c r="PAQ136" s="17"/>
      <c r="PAR136" s="17"/>
      <c r="PAS136" s="17"/>
      <c r="PAT136" s="17"/>
      <c r="PAU136" s="17"/>
      <c r="PAV136" s="17"/>
      <c r="PAW136" s="17"/>
      <c r="PAX136" s="17"/>
      <c r="PAY136" s="17"/>
      <c r="PAZ136" s="17"/>
      <c r="PBA136" s="17"/>
      <c r="PBB136" s="17"/>
      <c r="PBC136" s="17"/>
      <c r="PBD136" s="17"/>
      <c r="PBE136" s="17"/>
      <c r="PBF136" s="17"/>
      <c r="PBG136" s="17"/>
      <c r="PBH136" s="17"/>
      <c r="PBI136" s="17"/>
      <c r="PBJ136" s="17"/>
      <c r="PBK136" s="17"/>
      <c r="PBL136" s="17"/>
      <c r="PBM136" s="17"/>
      <c r="PBN136" s="17"/>
      <c r="PBO136" s="17"/>
      <c r="PBP136" s="17"/>
      <c r="PBQ136" s="17"/>
      <c r="PBR136" s="17"/>
      <c r="PBS136" s="17"/>
      <c r="PBT136" s="17"/>
      <c r="PBU136" s="17"/>
      <c r="PBV136" s="17"/>
      <c r="PBW136" s="17"/>
      <c r="PBX136" s="17"/>
      <c r="PBY136" s="17"/>
      <c r="PBZ136" s="17"/>
      <c r="PCA136" s="17"/>
      <c r="PCB136" s="17"/>
      <c r="PCC136" s="17"/>
      <c r="PCD136" s="17"/>
      <c r="PCE136" s="17"/>
      <c r="PCF136" s="17"/>
      <c r="PCG136" s="17"/>
      <c r="PCH136" s="17"/>
      <c r="PCI136" s="17"/>
      <c r="PCJ136" s="17"/>
      <c r="PCK136" s="17"/>
      <c r="PCL136" s="17"/>
      <c r="PCM136" s="17"/>
      <c r="PCN136" s="17"/>
      <c r="PCO136" s="17"/>
      <c r="PCP136" s="17"/>
      <c r="PCQ136" s="17"/>
      <c r="PCR136" s="17"/>
      <c r="PCS136" s="17"/>
      <c r="PCT136" s="17"/>
      <c r="PCU136" s="17"/>
      <c r="PCV136" s="17"/>
      <c r="PCW136" s="17"/>
      <c r="PCX136" s="17"/>
      <c r="PCY136" s="17"/>
      <c r="PCZ136" s="17"/>
      <c r="PDA136" s="17"/>
      <c r="PDB136" s="17"/>
      <c r="PDC136" s="17"/>
      <c r="PDD136" s="17"/>
      <c r="PDE136" s="17"/>
      <c r="PDF136" s="17"/>
      <c r="PDG136" s="17"/>
      <c r="PDH136" s="17"/>
      <c r="PDI136" s="17"/>
      <c r="PDJ136" s="17"/>
      <c r="PDK136" s="17"/>
      <c r="PDL136" s="17"/>
      <c r="PDM136" s="17"/>
      <c r="PDN136" s="17"/>
      <c r="PDO136" s="17"/>
      <c r="PDP136" s="17"/>
      <c r="PDQ136" s="17"/>
      <c r="PDR136" s="17"/>
      <c r="PDS136" s="17"/>
      <c r="PDT136" s="17"/>
      <c r="PDU136" s="17"/>
      <c r="PDV136" s="17"/>
      <c r="PDW136" s="17"/>
      <c r="PDX136" s="17"/>
      <c r="PDY136" s="17"/>
      <c r="PDZ136" s="17"/>
      <c r="PEA136" s="17"/>
      <c r="PEB136" s="17"/>
      <c r="PEC136" s="17"/>
      <c r="PED136" s="17"/>
      <c r="PEE136" s="17"/>
      <c r="PEF136" s="17"/>
      <c r="PEG136" s="17"/>
      <c r="PEH136" s="17"/>
      <c r="PEI136" s="17"/>
      <c r="PEJ136" s="17"/>
      <c r="PEK136" s="17"/>
      <c r="PEL136" s="17"/>
      <c r="PEM136" s="17"/>
      <c r="PEN136" s="17"/>
      <c r="PEO136" s="17"/>
      <c r="PEP136" s="17"/>
      <c r="PEQ136" s="17"/>
      <c r="PER136" s="17"/>
      <c r="PES136" s="17"/>
      <c r="PET136" s="17"/>
      <c r="PEU136" s="17"/>
      <c r="PEV136" s="17"/>
      <c r="PEW136" s="17"/>
      <c r="PEX136" s="17"/>
      <c r="PEY136" s="17"/>
      <c r="PEZ136" s="17"/>
      <c r="PFA136" s="17"/>
      <c r="PFB136" s="17"/>
      <c r="PFC136" s="17"/>
      <c r="PFD136" s="17"/>
      <c r="PFE136" s="17"/>
      <c r="PFF136" s="17"/>
      <c r="PFG136" s="17"/>
      <c r="PFH136" s="17"/>
      <c r="PFI136" s="17"/>
      <c r="PFJ136" s="17"/>
      <c r="PFK136" s="17"/>
      <c r="PFL136" s="17"/>
      <c r="PFM136" s="17"/>
      <c r="PFN136" s="17"/>
      <c r="PFO136" s="17"/>
      <c r="PFP136" s="17"/>
      <c r="PFQ136" s="17"/>
      <c r="PFR136" s="17"/>
      <c r="PFS136" s="17"/>
      <c r="PFT136" s="17"/>
      <c r="PFU136" s="17"/>
      <c r="PFV136" s="17"/>
      <c r="PFW136" s="17"/>
      <c r="PFX136" s="17"/>
      <c r="PFY136" s="17"/>
      <c r="PFZ136" s="17"/>
      <c r="PGA136" s="17"/>
      <c r="PGB136" s="17"/>
      <c r="PGC136" s="17"/>
      <c r="PGD136" s="17"/>
      <c r="PGE136" s="17"/>
      <c r="PGF136" s="17"/>
      <c r="PGG136" s="17"/>
      <c r="PGH136" s="17"/>
      <c r="PGI136" s="17"/>
      <c r="PGJ136" s="17"/>
      <c r="PGK136" s="17"/>
      <c r="PGL136" s="17"/>
      <c r="PGM136" s="17"/>
      <c r="PGN136" s="17"/>
      <c r="PGO136" s="17"/>
      <c r="PGP136" s="17"/>
      <c r="PGQ136" s="17"/>
      <c r="PGR136" s="17"/>
      <c r="PGS136" s="17"/>
      <c r="PGT136" s="17"/>
      <c r="PGU136" s="17"/>
      <c r="PGV136" s="17"/>
      <c r="PGW136" s="17"/>
      <c r="PGX136" s="17"/>
      <c r="PGY136" s="17"/>
      <c r="PGZ136" s="17"/>
      <c r="PHA136" s="17"/>
      <c r="PHB136" s="17"/>
      <c r="PHC136" s="17"/>
      <c r="PHD136" s="17"/>
      <c r="PHE136" s="17"/>
      <c r="PHF136" s="17"/>
      <c r="PHG136" s="17"/>
      <c r="PHH136" s="17"/>
      <c r="PHI136" s="17"/>
      <c r="PHJ136" s="17"/>
      <c r="PHK136" s="17"/>
      <c r="PHL136" s="17"/>
      <c r="PHM136" s="17"/>
      <c r="PHN136" s="17"/>
      <c r="PHO136" s="17"/>
      <c r="PHP136" s="17"/>
      <c r="PHQ136" s="17"/>
      <c r="PHR136" s="17"/>
      <c r="PHS136" s="17"/>
      <c r="PHT136" s="17"/>
      <c r="PHU136" s="17"/>
      <c r="PHV136" s="17"/>
      <c r="PHW136" s="17"/>
      <c r="PHX136" s="17"/>
      <c r="PHY136" s="17"/>
      <c r="PHZ136" s="17"/>
      <c r="PIA136" s="17"/>
      <c r="PIB136" s="17"/>
      <c r="PIC136" s="17"/>
      <c r="PID136" s="17"/>
      <c r="PIE136" s="17"/>
      <c r="PIF136" s="17"/>
      <c r="PIG136" s="17"/>
      <c r="PIH136" s="17"/>
      <c r="PII136" s="17"/>
      <c r="PIJ136" s="17"/>
      <c r="PIK136" s="17"/>
      <c r="PIL136" s="17"/>
      <c r="PIM136" s="17"/>
      <c r="PIN136" s="17"/>
      <c r="PIO136" s="17"/>
      <c r="PIP136" s="17"/>
      <c r="PIQ136" s="17"/>
      <c r="PIR136" s="17"/>
      <c r="PIS136" s="17"/>
      <c r="PIT136" s="17"/>
      <c r="PIU136" s="17"/>
      <c r="PIV136" s="17"/>
      <c r="PIW136" s="17"/>
      <c r="PIX136" s="17"/>
      <c r="PIY136" s="17"/>
      <c r="PIZ136" s="17"/>
      <c r="PJA136" s="17"/>
      <c r="PJB136" s="17"/>
      <c r="PJC136" s="17"/>
      <c r="PJD136" s="17"/>
      <c r="PJE136" s="17"/>
      <c r="PJF136" s="17"/>
      <c r="PJG136" s="17"/>
      <c r="PJH136" s="17"/>
      <c r="PJI136" s="17"/>
      <c r="PJJ136" s="17"/>
      <c r="PJK136" s="17"/>
      <c r="PJL136" s="17"/>
      <c r="PJM136" s="17"/>
      <c r="PJN136" s="17"/>
      <c r="PJO136" s="17"/>
      <c r="PJP136" s="17"/>
      <c r="PJQ136" s="17"/>
      <c r="PJR136" s="17"/>
      <c r="PJS136" s="17"/>
      <c r="PJT136" s="17"/>
      <c r="PJU136" s="17"/>
      <c r="PJV136" s="17"/>
      <c r="PJW136" s="17"/>
      <c r="PJX136" s="17"/>
      <c r="PJY136" s="17"/>
      <c r="PJZ136" s="17"/>
      <c r="PKA136" s="17"/>
      <c r="PKB136" s="17"/>
      <c r="PKC136" s="17"/>
      <c r="PKD136" s="17"/>
      <c r="PKE136" s="17"/>
      <c r="PKF136" s="17"/>
      <c r="PKG136" s="17"/>
      <c r="PKH136" s="17"/>
      <c r="PKI136" s="17"/>
      <c r="PKJ136" s="17"/>
      <c r="PKK136" s="17"/>
      <c r="PKL136" s="17"/>
      <c r="PKM136" s="17"/>
      <c r="PKN136" s="17"/>
      <c r="PKO136" s="17"/>
      <c r="PKP136" s="17"/>
      <c r="PKQ136" s="17"/>
      <c r="PKR136" s="17"/>
      <c r="PKS136" s="17"/>
      <c r="PKT136" s="17"/>
      <c r="PKU136" s="17"/>
      <c r="PKV136" s="17"/>
      <c r="PKW136" s="17"/>
      <c r="PKX136" s="17"/>
      <c r="PKY136" s="17"/>
      <c r="PKZ136" s="17"/>
      <c r="PLA136" s="17"/>
      <c r="PLB136" s="17"/>
      <c r="PLC136" s="17"/>
      <c r="PLD136" s="17"/>
      <c r="PLE136" s="17"/>
      <c r="PLF136" s="17"/>
      <c r="PLG136" s="17"/>
      <c r="PLH136" s="17"/>
      <c r="PLI136" s="17"/>
      <c r="PLJ136" s="17"/>
      <c r="PLK136" s="17"/>
      <c r="PLL136" s="17"/>
      <c r="PLM136" s="17"/>
      <c r="PLN136" s="17"/>
      <c r="PLO136" s="17"/>
      <c r="PLP136" s="17"/>
      <c r="PLQ136" s="17"/>
      <c r="PLR136" s="17"/>
      <c r="PLS136" s="17"/>
      <c r="PLT136" s="17"/>
      <c r="PLU136" s="17"/>
      <c r="PLV136" s="17"/>
      <c r="PLW136" s="17"/>
      <c r="PLX136" s="17"/>
      <c r="PLY136" s="17"/>
      <c r="PLZ136" s="17"/>
      <c r="PMA136" s="17"/>
      <c r="PMB136" s="17"/>
      <c r="PMC136" s="17"/>
      <c r="PMD136" s="17"/>
      <c r="PME136" s="17"/>
      <c r="PMF136" s="17"/>
      <c r="PMG136" s="17"/>
      <c r="PMH136" s="17"/>
      <c r="PMI136" s="17"/>
      <c r="PMJ136" s="17"/>
      <c r="PMK136" s="17"/>
      <c r="PML136" s="17"/>
      <c r="PMM136" s="17"/>
      <c r="PMN136" s="17"/>
      <c r="PMO136" s="17"/>
      <c r="PMP136" s="17"/>
      <c r="PMQ136" s="17"/>
      <c r="PMR136" s="17"/>
      <c r="PMS136" s="17"/>
      <c r="PMT136" s="17"/>
      <c r="PMU136" s="17"/>
      <c r="PMV136" s="17"/>
      <c r="PMW136" s="17"/>
      <c r="PMX136" s="17"/>
      <c r="PMY136" s="17"/>
      <c r="PMZ136" s="17"/>
      <c r="PNA136" s="17"/>
      <c r="PNB136" s="17"/>
      <c r="PNC136" s="17"/>
      <c r="PND136" s="17"/>
      <c r="PNE136" s="17"/>
      <c r="PNF136" s="17"/>
      <c r="PNG136" s="17"/>
      <c r="PNH136" s="17"/>
      <c r="PNI136" s="17"/>
      <c r="PNJ136" s="17"/>
      <c r="PNK136" s="17"/>
      <c r="PNL136" s="17"/>
      <c r="PNM136" s="17"/>
      <c r="PNN136" s="17"/>
      <c r="PNO136" s="17"/>
      <c r="PNP136" s="17"/>
      <c r="PNQ136" s="17"/>
      <c r="PNR136" s="17"/>
      <c r="PNS136" s="17"/>
      <c r="PNT136" s="17"/>
      <c r="PNU136" s="17"/>
      <c r="PNV136" s="17"/>
      <c r="PNW136" s="17"/>
      <c r="PNX136" s="17"/>
      <c r="PNY136" s="17"/>
      <c r="PNZ136" s="17"/>
      <c r="POA136" s="17"/>
      <c r="POB136" s="17"/>
      <c r="POC136" s="17"/>
      <c r="POD136" s="17"/>
      <c r="POE136" s="17"/>
      <c r="POF136" s="17"/>
      <c r="POG136" s="17"/>
      <c r="POH136" s="17"/>
      <c r="POI136" s="17"/>
      <c r="POJ136" s="17"/>
      <c r="POK136" s="17"/>
      <c r="POL136" s="17"/>
      <c r="POM136" s="17"/>
      <c r="PON136" s="17"/>
      <c r="POO136" s="17"/>
      <c r="POP136" s="17"/>
      <c r="POQ136" s="17"/>
      <c r="POR136" s="17"/>
      <c r="POS136" s="17"/>
      <c r="POT136" s="17"/>
      <c r="POU136" s="17"/>
      <c r="POV136" s="17"/>
      <c r="POW136" s="17"/>
      <c r="POX136" s="17"/>
      <c r="POY136" s="17"/>
      <c r="POZ136" s="17"/>
      <c r="PPA136" s="17"/>
      <c r="PPB136" s="17"/>
      <c r="PPC136" s="17"/>
      <c r="PPD136" s="17"/>
      <c r="PPE136" s="17"/>
      <c r="PPF136" s="17"/>
      <c r="PPG136" s="17"/>
      <c r="PPH136" s="17"/>
      <c r="PPI136" s="17"/>
      <c r="PPJ136" s="17"/>
      <c r="PPK136" s="17"/>
      <c r="PPL136" s="17"/>
      <c r="PPM136" s="17"/>
      <c r="PPN136" s="17"/>
      <c r="PPO136" s="17"/>
      <c r="PPP136" s="17"/>
      <c r="PPQ136" s="17"/>
      <c r="PPR136" s="17"/>
      <c r="PPS136" s="17"/>
      <c r="PPT136" s="17"/>
      <c r="PPU136" s="17"/>
      <c r="PPV136" s="17"/>
      <c r="PPW136" s="17"/>
      <c r="PPX136" s="17"/>
      <c r="PPY136" s="17"/>
      <c r="PPZ136" s="17"/>
      <c r="PQA136" s="17"/>
      <c r="PQB136" s="17"/>
      <c r="PQC136" s="17"/>
      <c r="PQD136" s="17"/>
      <c r="PQE136" s="17"/>
      <c r="PQF136" s="17"/>
      <c r="PQG136" s="17"/>
      <c r="PQH136" s="17"/>
      <c r="PQI136" s="17"/>
      <c r="PQJ136" s="17"/>
      <c r="PQK136" s="17"/>
      <c r="PQL136" s="17"/>
      <c r="PQM136" s="17"/>
      <c r="PQN136" s="17"/>
      <c r="PQO136" s="17"/>
      <c r="PQP136" s="17"/>
      <c r="PQQ136" s="17"/>
      <c r="PQR136" s="17"/>
      <c r="PQS136" s="17"/>
      <c r="PQT136" s="17"/>
      <c r="PQU136" s="17"/>
      <c r="PQV136" s="17"/>
      <c r="PQW136" s="17"/>
      <c r="PQX136" s="17"/>
      <c r="PQY136" s="17"/>
      <c r="PQZ136" s="17"/>
      <c r="PRA136" s="17"/>
      <c r="PRB136" s="17"/>
      <c r="PRC136" s="17"/>
      <c r="PRD136" s="17"/>
      <c r="PRE136" s="17"/>
      <c r="PRF136" s="17"/>
      <c r="PRG136" s="17"/>
      <c r="PRH136" s="17"/>
      <c r="PRI136" s="17"/>
      <c r="PRJ136" s="17"/>
      <c r="PRK136" s="17"/>
      <c r="PRL136" s="17"/>
      <c r="PRM136" s="17"/>
      <c r="PRN136" s="17"/>
      <c r="PRO136" s="17"/>
      <c r="PRP136" s="17"/>
      <c r="PRQ136" s="17"/>
      <c r="PRR136" s="17"/>
      <c r="PRS136" s="17"/>
      <c r="PRT136" s="17"/>
      <c r="PRU136" s="17"/>
      <c r="PRV136" s="17"/>
      <c r="PRW136" s="17"/>
      <c r="PRX136" s="17"/>
      <c r="PRY136" s="17"/>
      <c r="PRZ136" s="17"/>
      <c r="PSA136" s="17"/>
      <c r="PSB136" s="17"/>
      <c r="PSC136" s="17"/>
      <c r="PSD136" s="17"/>
      <c r="PSE136" s="17"/>
      <c r="PSF136" s="17"/>
      <c r="PSG136" s="17"/>
      <c r="PSH136" s="17"/>
      <c r="PSI136" s="17"/>
      <c r="PSJ136" s="17"/>
      <c r="PSK136" s="17"/>
      <c r="PSL136" s="17"/>
      <c r="PSM136" s="17"/>
      <c r="PSN136" s="17"/>
      <c r="PSO136" s="17"/>
      <c r="PSP136" s="17"/>
      <c r="PSQ136" s="17"/>
      <c r="PSR136" s="17"/>
      <c r="PSS136" s="17"/>
      <c r="PST136" s="17"/>
      <c r="PSU136" s="17"/>
      <c r="PSV136" s="17"/>
      <c r="PSW136" s="17"/>
      <c r="PSX136" s="17"/>
      <c r="PSY136" s="17"/>
      <c r="PSZ136" s="17"/>
      <c r="PTA136" s="17"/>
      <c r="PTB136" s="17"/>
      <c r="PTC136" s="17"/>
      <c r="PTD136" s="17"/>
      <c r="PTE136" s="17"/>
      <c r="PTF136" s="17"/>
      <c r="PTG136" s="17"/>
      <c r="PTH136" s="17"/>
      <c r="PTI136" s="17"/>
      <c r="PTJ136" s="17"/>
      <c r="PTK136" s="17"/>
      <c r="PTL136" s="17"/>
      <c r="PTM136" s="17"/>
      <c r="PTN136" s="17"/>
      <c r="PTO136" s="17"/>
      <c r="PTP136" s="17"/>
      <c r="PTQ136" s="17"/>
      <c r="PTR136" s="17"/>
      <c r="PTS136" s="17"/>
      <c r="PTT136" s="17"/>
      <c r="PTU136" s="17"/>
      <c r="PTV136" s="17"/>
      <c r="PTW136" s="17"/>
      <c r="PTX136" s="17"/>
      <c r="PTY136" s="17"/>
      <c r="PTZ136" s="17"/>
      <c r="PUA136" s="17"/>
      <c r="PUB136" s="17"/>
      <c r="PUC136" s="17"/>
      <c r="PUD136" s="17"/>
      <c r="PUE136" s="17"/>
      <c r="PUF136" s="17"/>
      <c r="PUG136" s="17"/>
      <c r="PUH136" s="17"/>
      <c r="PUI136" s="17"/>
      <c r="PUJ136" s="17"/>
      <c r="PUK136" s="17"/>
      <c r="PUL136" s="17"/>
      <c r="PUM136" s="17"/>
      <c r="PUN136" s="17"/>
      <c r="PUO136" s="17"/>
      <c r="PUP136" s="17"/>
      <c r="PUQ136" s="17"/>
      <c r="PUR136" s="17"/>
      <c r="PUS136" s="17"/>
      <c r="PUT136" s="17"/>
      <c r="PUU136" s="17"/>
      <c r="PUV136" s="17"/>
      <c r="PUW136" s="17"/>
      <c r="PUX136" s="17"/>
      <c r="PUY136" s="17"/>
      <c r="PUZ136" s="17"/>
      <c r="PVA136" s="17"/>
      <c r="PVB136" s="17"/>
      <c r="PVC136" s="17"/>
      <c r="PVD136" s="17"/>
      <c r="PVE136" s="17"/>
      <c r="PVF136" s="17"/>
      <c r="PVG136" s="17"/>
      <c r="PVH136" s="17"/>
      <c r="PVI136" s="17"/>
      <c r="PVJ136" s="17"/>
      <c r="PVK136" s="17"/>
      <c r="PVL136" s="17"/>
      <c r="PVM136" s="17"/>
      <c r="PVN136" s="17"/>
      <c r="PVO136" s="17"/>
      <c r="PVP136" s="17"/>
      <c r="PVQ136" s="17"/>
      <c r="PVR136" s="17"/>
      <c r="PVS136" s="17"/>
      <c r="PVT136" s="17"/>
      <c r="PVU136" s="17"/>
      <c r="PVV136" s="17"/>
      <c r="PVW136" s="17"/>
      <c r="PVX136" s="17"/>
      <c r="PVY136" s="17"/>
      <c r="PVZ136" s="17"/>
      <c r="PWA136" s="17"/>
      <c r="PWB136" s="17"/>
      <c r="PWC136" s="17"/>
      <c r="PWD136" s="17"/>
      <c r="PWE136" s="17"/>
      <c r="PWF136" s="17"/>
      <c r="PWG136" s="17"/>
      <c r="PWH136" s="17"/>
      <c r="PWI136" s="17"/>
      <c r="PWJ136" s="17"/>
      <c r="PWK136" s="17"/>
      <c r="PWL136" s="17"/>
      <c r="PWM136" s="17"/>
      <c r="PWN136" s="17"/>
      <c r="PWO136" s="17"/>
      <c r="PWP136" s="17"/>
      <c r="PWQ136" s="17"/>
      <c r="PWR136" s="17"/>
      <c r="PWS136" s="17"/>
      <c r="PWT136" s="17"/>
      <c r="PWU136" s="17"/>
      <c r="PWV136" s="17"/>
      <c r="PWW136" s="17"/>
      <c r="PWX136" s="17"/>
      <c r="PWY136" s="17"/>
      <c r="PWZ136" s="17"/>
      <c r="PXA136" s="17"/>
      <c r="PXB136" s="17"/>
      <c r="PXC136" s="17"/>
      <c r="PXD136" s="17"/>
      <c r="PXE136" s="17"/>
      <c r="PXF136" s="17"/>
      <c r="PXG136" s="17"/>
      <c r="PXH136" s="17"/>
      <c r="PXI136" s="17"/>
      <c r="PXJ136" s="17"/>
      <c r="PXK136" s="17"/>
      <c r="PXL136" s="17"/>
      <c r="PXM136" s="17"/>
      <c r="PXN136" s="17"/>
      <c r="PXO136" s="17"/>
      <c r="PXP136" s="17"/>
      <c r="PXQ136" s="17"/>
      <c r="PXR136" s="17"/>
      <c r="PXS136" s="17"/>
      <c r="PXT136" s="17"/>
      <c r="PXU136" s="17"/>
      <c r="PXV136" s="17"/>
      <c r="PXW136" s="17"/>
      <c r="PXX136" s="17"/>
      <c r="PXY136" s="17"/>
      <c r="PXZ136" s="17"/>
      <c r="PYA136" s="17"/>
      <c r="PYB136" s="17"/>
      <c r="PYC136" s="17"/>
      <c r="PYD136" s="17"/>
      <c r="PYE136" s="17"/>
      <c r="PYF136" s="17"/>
      <c r="PYG136" s="17"/>
      <c r="PYH136" s="17"/>
      <c r="PYI136" s="17"/>
      <c r="PYJ136" s="17"/>
      <c r="PYK136" s="17"/>
      <c r="PYL136" s="17"/>
      <c r="PYM136" s="17"/>
      <c r="PYN136" s="17"/>
      <c r="PYO136" s="17"/>
      <c r="PYP136" s="17"/>
      <c r="PYQ136" s="17"/>
      <c r="PYR136" s="17"/>
      <c r="PYS136" s="17"/>
      <c r="PYT136" s="17"/>
      <c r="PYU136" s="17"/>
      <c r="PYV136" s="17"/>
      <c r="PYW136" s="17"/>
      <c r="PYX136" s="17"/>
      <c r="PYY136" s="17"/>
      <c r="PYZ136" s="17"/>
      <c r="PZA136" s="17"/>
      <c r="PZB136" s="17"/>
      <c r="PZC136" s="17"/>
      <c r="PZD136" s="17"/>
      <c r="PZE136" s="17"/>
      <c r="PZF136" s="17"/>
      <c r="PZG136" s="17"/>
      <c r="PZH136" s="17"/>
      <c r="PZI136" s="17"/>
      <c r="PZJ136" s="17"/>
      <c r="PZK136" s="17"/>
      <c r="PZL136" s="17"/>
      <c r="PZM136" s="17"/>
      <c r="PZN136" s="17"/>
      <c r="PZO136" s="17"/>
      <c r="PZP136" s="17"/>
      <c r="PZQ136" s="17"/>
      <c r="PZR136" s="17"/>
      <c r="PZS136" s="17"/>
      <c r="PZT136" s="17"/>
      <c r="PZU136" s="17"/>
      <c r="PZV136" s="17"/>
      <c r="PZW136" s="17"/>
      <c r="PZX136" s="17"/>
      <c r="PZY136" s="17"/>
      <c r="PZZ136" s="17"/>
      <c r="QAA136" s="17"/>
      <c r="QAB136" s="17"/>
      <c r="QAC136" s="17"/>
      <c r="QAD136" s="17"/>
      <c r="QAE136" s="17"/>
      <c r="QAF136" s="17"/>
      <c r="QAG136" s="17"/>
      <c r="QAH136" s="17"/>
      <c r="QAI136" s="17"/>
      <c r="QAJ136" s="17"/>
      <c r="QAK136" s="17"/>
      <c r="QAL136" s="17"/>
      <c r="QAM136" s="17"/>
      <c r="QAN136" s="17"/>
      <c r="QAO136" s="17"/>
      <c r="QAP136" s="17"/>
      <c r="QAQ136" s="17"/>
      <c r="QAR136" s="17"/>
      <c r="QAS136" s="17"/>
      <c r="QAT136" s="17"/>
      <c r="QAU136" s="17"/>
      <c r="QAV136" s="17"/>
      <c r="QAW136" s="17"/>
      <c r="QAX136" s="17"/>
      <c r="QAY136" s="17"/>
      <c r="QAZ136" s="17"/>
      <c r="QBA136" s="17"/>
      <c r="QBB136" s="17"/>
      <c r="QBC136" s="17"/>
      <c r="QBD136" s="17"/>
      <c r="QBE136" s="17"/>
      <c r="QBF136" s="17"/>
      <c r="QBG136" s="17"/>
      <c r="QBH136" s="17"/>
      <c r="QBI136" s="17"/>
      <c r="QBJ136" s="17"/>
      <c r="QBK136" s="17"/>
      <c r="QBL136" s="17"/>
      <c r="QBM136" s="17"/>
      <c r="QBN136" s="17"/>
      <c r="QBO136" s="17"/>
      <c r="QBP136" s="17"/>
      <c r="QBQ136" s="17"/>
      <c r="QBR136" s="17"/>
      <c r="QBS136" s="17"/>
      <c r="QBT136" s="17"/>
      <c r="QBU136" s="17"/>
      <c r="QBV136" s="17"/>
      <c r="QBW136" s="17"/>
      <c r="QBX136" s="17"/>
      <c r="QBY136" s="17"/>
      <c r="QBZ136" s="17"/>
      <c r="QCA136" s="17"/>
      <c r="QCB136" s="17"/>
      <c r="QCC136" s="17"/>
      <c r="QCD136" s="17"/>
      <c r="QCE136" s="17"/>
      <c r="QCF136" s="17"/>
      <c r="QCG136" s="17"/>
      <c r="QCH136" s="17"/>
      <c r="QCI136" s="17"/>
      <c r="QCJ136" s="17"/>
      <c r="QCK136" s="17"/>
      <c r="QCL136" s="17"/>
      <c r="QCM136" s="17"/>
      <c r="QCN136" s="17"/>
      <c r="QCO136" s="17"/>
      <c r="QCP136" s="17"/>
      <c r="QCQ136" s="17"/>
      <c r="QCR136" s="17"/>
      <c r="QCS136" s="17"/>
      <c r="QCT136" s="17"/>
      <c r="QCU136" s="17"/>
      <c r="QCV136" s="17"/>
      <c r="QCW136" s="17"/>
      <c r="QCX136" s="17"/>
      <c r="QCY136" s="17"/>
      <c r="QCZ136" s="17"/>
      <c r="QDA136" s="17"/>
      <c r="QDB136" s="17"/>
      <c r="QDC136" s="17"/>
      <c r="QDD136" s="17"/>
      <c r="QDE136" s="17"/>
      <c r="QDF136" s="17"/>
      <c r="QDG136" s="17"/>
      <c r="QDH136" s="17"/>
      <c r="QDI136" s="17"/>
      <c r="QDJ136" s="17"/>
      <c r="QDK136" s="17"/>
      <c r="QDL136" s="17"/>
      <c r="QDM136" s="17"/>
      <c r="QDN136" s="17"/>
      <c r="QDO136" s="17"/>
      <c r="QDP136" s="17"/>
      <c r="QDQ136" s="17"/>
      <c r="QDR136" s="17"/>
      <c r="QDS136" s="17"/>
      <c r="QDT136" s="17"/>
      <c r="QDU136" s="17"/>
      <c r="QDV136" s="17"/>
      <c r="QDW136" s="17"/>
      <c r="QDX136" s="17"/>
      <c r="QDY136" s="17"/>
      <c r="QDZ136" s="17"/>
      <c r="QEA136" s="17"/>
      <c r="QEB136" s="17"/>
      <c r="QEC136" s="17"/>
      <c r="QED136" s="17"/>
      <c r="QEE136" s="17"/>
      <c r="QEF136" s="17"/>
      <c r="QEG136" s="17"/>
      <c r="QEH136" s="17"/>
      <c r="QEI136" s="17"/>
      <c r="QEJ136" s="17"/>
      <c r="QEK136" s="17"/>
      <c r="QEL136" s="17"/>
      <c r="QEM136" s="17"/>
      <c r="QEN136" s="17"/>
      <c r="QEO136" s="17"/>
      <c r="QEP136" s="17"/>
      <c r="QEQ136" s="17"/>
      <c r="QER136" s="17"/>
      <c r="QES136" s="17"/>
      <c r="QET136" s="17"/>
      <c r="QEU136" s="17"/>
      <c r="QEV136" s="17"/>
      <c r="QEW136" s="17"/>
      <c r="QEX136" s="17"/>
      <c r="QEY136" s="17"/>
      <c r="QEZ136" s="17"/>
      <c r="QFA136" s="17"/>
      <c r="QFB136" s="17"/>
      <c r="QFC136" s="17"/>
      <c r="QFD136" s="17"/>
      <c r="QFE136" s="17"/>
      <c r="QFF136" s="17"/>
      <c r="QFG136" s="17"/>
      <c r="QFH136" s="17"/>
      <c r="QFI136" s="17"/>
      <c r="QFJ136" s="17"/>
      <c r="QFK136" s="17"/>
      <c r="QFL136" s="17"/>
      <c r="QFM136" s="17"/>
      <c r="QFN136" s="17"/>
      <c r="QFO136" s="17"/>
      <c r="QFP136" s="17"/>
      <c r="QFQ136" s="17"/>
      <c r="QFR136" s="17"/>
      <c r="QFS136" s="17"/>
      <c r="QFT136" s="17"/>
      <c r="QFU136" s="17"/>
      <c r="QFV136" s="17"/>
      <c r="QFW136" s="17"/>
      <c r="QFX136" s="17"/>
      <c r="QFY136" s="17"/>
      <c r="QFZ136" s="17"/>
      <c r="QGA136" s="17"/>
      <c r="QGB136" s="17"/>
      <c r="QGC136" s="17"/>
      <c r="QGD136" s="17"/>
      <c r="QGE136" s="17"/>
      <c r="QGF136" s="17"/>
      <c r="QGG136" s="17"/>
      <c r="QGH136" s="17"/>
      <c r="QGI136" s="17"/>
      <c r="QGJ136" s="17"/>
      <c r="QGK136" s="17"/>
      <c r="QGL136" s="17"/>
      <c r="QGM136" s="17"/>
      <c r="QGN136" s="17"/>
      <c r="QGO136" s="17"/>
      <c r="QGP136" s="17"/>
      <c r="QGQ136" s="17"/>
      <c r="QGR136" s="17"/>
      <c r="QGS136" s="17"/>
      <c r="QGT136" s="17"/>
      <c r="QGU136" s="17"/>
      <c r="QGV136" s="17"/>
      <c r="QGW136" s="17"/>
      <c r="QGX136" s="17"/>
      <c r="QGY136" s="17"/>
      <c r="QGZ136" s="17"/>
      <c r="QHA136" s="17"/>
      <c r="QHB136" s="17"/>
      <c r="QHC136" s="17"/>
      <c r="QHD136" s="17"/>
      <c r="QHE136" s="17"/>
      <c r="QHF136" s="17"/>
      <c r="QHG136" s="17"/>
      <c r="QHH136" s="17"/>
      <c r="QHI136" s="17"/>
      <c r="QHJ136" s="17"/>
      <c r="QHK136" s="17"/>
      <c r="QHL136" s="17"/>
      <c r="QHM136" s="17"/>
      <c r="QHN136" s="17"/>
      <c r="QHO136" s="17"/>
      <c r="QHP136" s="17"/>
      <c r="QHQ136" s="17"/>
      <c r="QHR136" s="17"/>
      <c r="QHS136" s="17"/>
      <c r="QHT136" s="17"/>
      <c r="QHU136" s="17"/>
      <c r="QHV136" s="17"/>
      <c r="QHW136" s="17"/>
      <c r="QHX136" s="17"/>
      <c r="QHY136" s="17"/>
      <c r="QHZ136" s="17"/>
      <c r="QIA136" s="17"/>
      <c r="QIB136" s="17"/>
      <c r="QIC136" s="17"/>
      <c r="QID136" s="17"/>
      <c r="QIE136" s="17"/>
      <c r="QIF136" s="17"/>
      <c r="QIG136" s="17"/>
      <c r="QIH136" s="17"/>
      <c r="QII136" s="17"/>
      <c r="QIJ136" s="17"/>
      <c r="QIK136" s="17"/>
      <c r="QIL136" s="17"/>
      <c r="QIM136" s="17"/>
      <c r="QIN136" s="17"/>
      <c r="QIO136" s="17"/>
      <c r="QIP136" s="17"/>
      <c r="QIQ136" s="17"/>
      <c r="QIR136" s="17"/>
      <c r="QIS136" s="17"/>
      <c r="QIT136" s="17"/>
      <c r="QIU136" s="17"/>
      <c r="QIV136" s="17"/>
      <c r="QIW136" s="17"/>
      <c r="QIX136" s="17"/>
      <c r="QIY136" s="17"/>
      <c r="QIZ136" s="17"/>
      <c r="QJA136" s="17"/>
      <c r="QJB136" s="17"/>
      <c r="QJC136" s="17"/>
      <c r="QJD136" s="17"/>
      <c r="QJE136" s="17"/>
      <c r="QJF136" s="17"/>
      <c r="QJG136" s="17"/>
      <c r="QJH136" s="17"/>
      <c r="QJI136" s="17"/>
      <c r="QJJ136" s="17"/>
      <c r="QJK136" s="17"/>
      <c r="QJL136" s="17"/>
      <c r="QJM136" s="17"/>
      <c r="QJN136" s="17"/>
      <c r="QJO136" s="17"/>
      <c r="QJP136" s="17"/>
      <c r="QJQ136" s="17"/>
      <c r="QJR136" s="17"/>
      <c r="QJS136" s="17"/>
      <c r="QJT136" s="17"/>
      <c r="QJU136" s="17"/>
      <c r="QJV136" s="17"/>
      <c r="QJW136" s="17"/>
      <c r="QJX136" s="17"/>
      <c r="QJY136" s="17"/>
      <c r="QJZ136" s="17"/>
      <c r="QKA136" s="17"/>
      <c r="QKB136" s="17"/>
      <c r="QKC136" s="17"/>
      <c r="QKD136" s="17"/>
      <c r="QKE136" s="17"/>
      <c r="QKF136" s="17"/>
      <c r="QKG136" s="17"/>
      <c r="QKH136" s="17"/>
      <c r="QKI136" s="17"/>
      <c r="QKJ136" s="17"/>
      <c r="QKK136" s="17"/>
      <c r="QKL136" s="17"/>
      <c r="QKM136" s="17"/>
      <c r="QKN136" s="17"/>
      <c r="QKO136" s="17"/>
      <c r="QKP136" s="17"/>
      <c r="QKQ136" s="17"/>
      <c r="QKR136" s="17"/>
      <c r="QKS136" s="17"/>
      <c r="QKT136" s="17"/>
      <c r="QKU136" s="17"/>
      <c r="QKV136" s="17"/>
      <c r="QKW136" s="17"/>
      <c r="QKX136" s="17"/>
      <c r="QKY136" s="17"/>
      <c r="QKZ136" s="17"/>
      <c r="QLA136" s="17"/>
      <c r="QLB136" s="17"/>
      <c r="QLC136" s="17"/>
      <c r="QLD136" s="17"/>
      <c r="QLE136" s="17"/>
      <c r="QLF136" s="17"/>
      <c r="QLG136" s="17"/>
      <c r="QLH136" s="17"/>
      <c r="QLI136" s="17"/>
      <c r="QLJ136" s="17"/>
      <c r="QLK136" s="17"/>
      <c r="QLL136" s="17"/>
      <c r="QLM136" s="17"/>
      <c r="QLN136" s="17"/>
      <c r="QLO136" s="17"/>
      <c r="QLP136" s="17"/>
      <c r="QLQ136" s="17"/>
      <c r="QLR136" s="17"/>
      <c r="QLS136" s="17"/>
      <c r="QLT136" s="17"/>
      <c r="QLU136" s="17"/>
      <c r="QLV136" s="17"/>
      <c r="QLW136" s="17"/>
      <c r="QLX136" s="17"/>
      <c r="QLY136" s="17"/>
      <c r="QLZ136" s="17"/>
      <c r="QMA136" s="17"/>
      <c r="QMB136" s="17"/>
      <c r="QMC136" s="17"/>
      <c r="QMD136" s="17"/>
      <c r="QME136" s="17"/>
      <c r="QMF136" s="17"/>
      <c r="QMG136" s="17"/>
      <c r="QMH136" s="17"/>
      <c r="QMI136" s="17"/>
      <c r="QMJ136" s="17"/>
      <c r="QMK136" s="17"/>
      <c r="QML136" s="17"/>
      <c r="QMM136" s="17"/>
      <c r="QMN136" s="17"/>
      <c r="QMO136" s="17"/>
      <c r="QMP136" s="17"/>
      <c r="QMQ136" s="17"/>
      <c r="QMR136" s="17"/>
      <c r="QMS136" s="17"/>
      <c r="QMT136" s="17"/>
      <c r="QMU136" s="17"/>
      <c r="QMV136" s="17"/>
      <c r="QMW136" s="17"/>
      <c r="QMX136" s="17"/>
      <c r="QMY136" s="17"/>
      <c r="QMZ136" s="17"/>
      <c r="QNA136" s="17"/>
      <c r="QNB136" s="17"/>
      <c r="QNC136" s="17"/>
      <c r="QND136" s="17"/>
      <c r="QNE136" s="17"/>
      <c r="QNF136" s="17"/>
      <c r="QNG136" s="17"/>
      <c r="QNH136" s="17"/>
      <c r="QNI136" s="17"/>
      <c r="QNJ136" s="17"/>
      <c r="QNK136" s="17"/>
      <c r="QNL136" s="17"/>
      <c r="QNM136" s="17"/>
      <c r="QNN136" s="17"/>
      <c r="QNO136" s="17"/>
      <c r="QNP136" s="17"/>
      <c r="QNQ136" s="17"/>
      <c r="QNR136" s="17"/>
      <c r="QNS136" s="17"/>
      <c r="QNT136" s="17"/>
      <c r="QNU136" s="17"/>
      <c r="QNV136" s="17"/>
      <c r="QNW136" s="17"/>
      <c r="QNX136" s="17"/>
      <c r="QNY136" s="17"/>
      <c r="QNZ136" s="17"/>
      <c r="QOA136" s="17"/>
      <c r="QOB136" s="17"/>
      <c r="QOC136" s="17"/>
      <c r="QOD136" s="17"/>
      <c r="QOE136" s="17"/>
      <c r="QOF136" s="17"/>
      <c r="QOG136" s="17"/>
      <c r="QOH136" s="17"/>
      <c r="QOI136" s="17"/>
      <c r="QOJ136" s="17"/>
      <c r="QOK136" s="17"/>
      <c r="QOL136" s="17"/>
      <c r="QOM136" s="17"/>
      <c r="QON136" s="17"/>
      <c r="QOO136" s="17"/>
      <c r="QOP136" s="17"/>
      <c r="QOQ136" s="17"/>
      <c r="QOR136" s="17"/>
      <c r="QOS136" s="17"/>
      <c r="QOT136" s="17"/>
      <c r="QOU136" s="17"/>
      <c r="QOV136" s="17"/>
      <c r="QOW136" s="17"/>
      <c r="QOX136" s="17"/>
      <c r="QOY136" s="17"/>
      <c r="QOZ136" s="17"/>
      <c r="QPA136" s="17"/>
      <c r="QPB136" s="17"/>
      <c r="QPC136" s="17"/>
      <c r="QPD136" s="17"/>
      <c r="QPE136" s="17"/>
      <c r="QPF136" s="17"/>
      <c r="QPG136" s="17"/>
      <c r="QPH136" s="17"/>
      <c r="QPI136" s="17"/>
      <c r="QPJ136" s="17"/>
      <c r="QPK136" s="17"/>
      <c r="QPL136" s="17"/>
      <c r="QPM136" s="17"/>
      <c r="QPN136" s="17"/>
      <c r="QPO136" s="17"/>
      <c r="QPP136" s="17"/>
      <c r="QPQ136" s="17"/>
      <c r="QPR136" s="17"/>
      <c r="QPS136" s="17"/>
      <c r="QPT136" s="17"/>
      <c r="QPU136" s="17"/>
      <c r="QPV136" s="17"/>
      <c r="QPW136" s="17"/>
      <c r="QPX136" s="17"/>
      <c r="QPY136" s="17"/>
      <c r="QPZ136" s="17"/>
      <c r="QQA136" s="17"/>
      <c r="QQB136" s="17"/>
      <c r="QQC136" s="17"/>
      <c r="QQD136" s="17"/>
      <c r="QQE136" s="17"/>
      <c r="QQF136" s="17"/>
      <c r="QQG136" s="17"/>
      <c r="QQH136" s="17"/>
      <c r="QQI136" s="17"/>
      <c r="QQJ136" s="17"/>
      <c r="QQK136" s="17"/>
      <c r="QQL136" s="17"/>
      <c r="QQM136" s="17"/>
      <c r="QQN136" s="17"/>
      <c r="QQO136" s="17"/>
      <c r="QQP136" s="17"/>
      <c r="QQQ136" s="17"/>
      <c r="QQR136" s="17"/>
      <c r="QQS136" s="17"/>
      <c r="QQT136" s="17"/>
      <c r="QQU136" s="17"/>
      <c r="QQV136" s="17"/>
      <c r="QQW136" s="17"/>
      <c r="QQX136" s="17"/>
      <c r="QQY136" s="17"/>
      <c r="QQZ136" s="17"/>
      <c r="QRA136" s="17"/>
      <c r="QRB136" s="17"/>
      <c r="QRC136" s="17"/>
      <c r="QRD136" s="17"/>
      <c r="QRE136" s="17"/>
      <c r="QRF136" s="17"/>
      <c r="QRG136" s="17"/>
      <c r="QRH136" s="17"/>
      <c r="QRI136" s="17"/>
      <c r="QRJ136" s="17"/>
      <c r="QRK136" s="17"/>
      <c r="QRL136" s="17"/>
      <c r="QRM136" s="17"/>
      <c r="QRN136" s="17"/>
      <c r="QRO136" s="17"/>
      <c r="QRP136" s="17"/>
      <c r="QRQ136" s="17"/>
      <c r="QRR136" s="17"/>
      <c r="QRS136" s="17"/>
      <c r="QRT136" s="17"/>
      <c r="QRU136" s="17"/>
      <c r="QRV136" s="17"/>
      <c r="QRW136" s="17"/>
      <c r="QRX136" s="17"/>
      <c r="QRY136" s="17"/>
      <c r="QRZ136" s="17"/>
      <c r="QSA136" s="17"/>
      <c r="QSB136" s="17"/>
      <c r="QSC136" s="17"/>
      <c r="QSD136" s="17"/>
      <c r="QSE136" s="17"/>
      <c r="QSF136" s="17"/>
      <c r="QSG136" s="17"/>
      <c r="QSH136" s="17"/>
      <c r="QSI136" s="17"/>
      <c r="QSJ136" s="17"/>
      <c r="QSK136" s="17"/>
      <c r="QSL136" s="17"/>
      <c r="QSM136" s="17"/>
      <c r="QSN136" s="17"/>
      <c r="QSO136" s="17"/>
      <c r="QSP136" s="17"/>
      <c r="QSQ136" s="17"/>
      <c r="QSR136" s="17"/>
      <c r="QSS136" s="17"/>
      <c r="QST136" s="17"/>
      <c r="QSU136" s="17"/>
      <c r="QSV136" s="17"/>
      <c r="QSW136" s="17"/>
      <c r="QSX136" s="17"/>
      <c r="QSY136" s="17"/>
      <c r="QSZ136" s="17"/>
      <c r="QTA136" s="17"/>
      <c r="QTB136" s="17"/>
      <c r="QTC136" s="17"/>
      <c r="QTD136" s="17"/>
      <c r="QTE136" s="17"/>
      <c r="QTF136" s="17"/>
      <c r="QTG136" s="17"/>
      <c r="QTH136" s="17"/>
      <c r="QTI136" s="17"/>
      <c r="QTJ136" s="17"/>
      <c r="QTK136" s="17"/>
      <c r="QTL136" s="17"/>
      <c r="QTM136" s="17"/>
      <c r="QTN136" s="17"/>
      <c r="QTO136" s="17"/>
      <c r="QTP136" s="17"/>
      <c r="QTQ136" s="17"/>
      <c r="QTR136" s="17"/>
      <c r="QTS136" s="17"/>
      <c r="QTT136" s="17"/>
      <c r="QTU136" s="17"/>
      <c r="QTV136" s="17"/>
      <c r="QTW136" s="17"/>
      <c r="QTX136" s="17"/>
      <c r="QTY136" s="17"/>
      <c r="QTZ136" s="17"/>
      <c r="QUA136" s="17"/>
      <c r="QUB136" s="17"/>
      <c r="QUC136" s="17"/>
      <c r="QUD136" s="17"/>
      <c r="QUE136" s="17"/>
      <c r="QUF136" s="17"/>
      <c r="QUG136" s="17"/>
      <c r="QUH136" s="17"/>
      <c r="QUI136" s="17"/>
      <c r="QUJ136" s="17"/>
      <c r="QUK136" s="17"/>
      <c r="QUL136" s="17"/>
      <c r="QUM136" s="17"/>
      <c r="QUN136" s="17"/>
      <c r="QUO136" s="17"/>
      <c r="QUP136" s="17"/>
      <c r="QUQ136" s="17"/>
      <c r="QUR136" s="17"/>
      <c r="QUS136" s="17"/>
      <c r="QUT136" s="17"/>
      <c r="QUU136" s="17"/>
      <c r="QUV136" s="17"/>
      <c r="QUW136" s="17"/>
      <c r="QUX136" s="17"/>
      <c r="QUY136" s="17"/>
      <c r="QUZ136" s="17"/>
      <c r="QVA136" s="17"/>
      <c r="QVB136" s="17"/>
      <c r="QVC136" s="17"/>
      <c r="QVD136" s="17"/>
      <c r="QVE136" s="17"/>
      <c r="QVF136" s="17"/>
      <c r="QVG136" s="17"/>
      <c r="QVH136" s="17"/>
      <c r="QVI136" s="17"/>
      <c r="QVJ136" s="17"/>
      <c r="QVK136" s="17"/>
      <c r="QVL136" s="17"/>
      <c r="QVM136" s="17"/>
      <c r="QVN136" s="17"/>
      <c r="QVO136" s="17"/>
      <c r="QVP136" s="17"/>
      <c r="QVQ136" s="17"/>
      <c r="QVR136" s="17"/>
      <c r="QVS136" s="17"/>
      <c r="QVT136" s="17"/>
      <c r="QVU136" s="17"/>
      <c r="QVV136" s="17"/>
      <c r="QVW136" s="17"/>
      <c r="QVX136" s="17"/>
      <c r="QVY136" s="17"/>
      <c r="QVZ136" s="17"/>
      <c r="QWA136" s="17"/>
      <c r="QWB136" s="17"/>
      <c r="QWC136" s="17"/>
      <c r="QWD136" s="17"/>
      <c r="QWE136" s="17"/>
      <c r="QWF136" s="17"/>
      <c r="QWG136" s="17"/>
      <c r="QWH136" s="17"/>
      <c r="QWI136" s="17"/>
      <c r="QWJ136" s="17"/>
      <c r="QWK136" s="17"/>
      <c r="QWL136" s="17"/>
      <c r="QWM136" s="17"/>
      <c r="QWN136" s="17"/>
      <c r="QWO136" s="17"/>
      <c r="QWP136" s="17"/>
      <c r="QWQ136" s="17"/>
      <c r="QWR136" s="17"/>
      <c r="QWS136" s="17"/>
      <c r="QWT136" s="17"/>
      <c r="QWU136" s="17"/>
      <c r="QWV136" s="17"/>
      <c r="QWW136" s="17"/>
      <c r="QWX136" s="17"/>
      <c r="QWY136" s="17"/>
      <c r="QWZ136" s="17"/>
      <c r="QXA136" s="17"/>
      <c r="QXB136" s="17"/>
      <c r="QXC136" s="17"/>
      <c r="QXD136" s="17"/>
      <c r="QXE136" s="17"/>
      <c r="QXF136" s="17"/>
      <c r="QXG136" s="17"/>
      <c r="QXH136" s="17"/>
      <c r="QXI136" s="17"/>
      <c r="QXJ136" s="17"/>
      <c r="QXK136" s="17"/>
      <c r="QXL136" s="17"/>
      <c r="QXM136" s="17"/>
      <c r="QXN136" s="17"/>
      <c r="QXO136" s="17"/>
      <c r="QXP136" s="17"/>
      <c r="QXQ136" s="17"/>
      <c r="QXR136" s="17"/>
      <c r="QXS136" s="17"/>
      <c r="QXT136" s="17"/>
      <c r="QXU136" s="17"/>
      <c r="QXV136" s="17"/>
      <c r="QXW136" s="17"/>
      <c r="QXX136" s="17"/>
      <c r="QXY136" s="17"/>
      <c r="QXZ136" s="17"/>
      <c r="QYA136" s="17"/>
      <c r="QYB136" s="17"/>
      <c r="QYC136" s="17"/>
      <c r="QYD136" s="17"/>
      <c r="QYE136" s="17"/>
      <c r="QYF136" s="17"/>
      <c r="QYG136" s="17"/>
      <c r="QYH136" s="17"/>
      <c r="QYI136" s="17"/>
      <c r="QYJ136" s="17"/>
      <c r="QYK136" s="17"/>
      <c r="QYL136" s="17"/>
      <c r="QYM136" s="17"/>
      <c r="QYN136" s="17"/>
      <c r="QYO136" s="17"/>
      <c r="QYP136" s="17"/>
      <c r="QYQ136" s="17"/>
      <c r="QYR136" s="17"/>
      <c r="QYS136" s="17"/>
      <c r="QYT136" s="17"/>
      <c r="QYU136" s="17"/>
      <c r="QYV136" s="17"/>
      <c r="QYW136" s="17"/>
      <c r="QYX136" s="17"/>
      <c r="QYY136" s="17"/>
      <c r="QYZ136" s="17"/>
      <c r="QZA136" s="17"/>
      <c r="QZB136" s="17"/>
      <c r="QZC136" s="17"/>
      <c r="QZD136" s="17"/>
      <c r="QZE136" s="17"/>
      <c r="QZF136" s="17"/>
      <c r="QZG136" s="17"/>
      <c r="QZH136" s="17"/>
      <c r="QZI136" s="17"/>
      <c r="QZJ136" s="17"/>
      <c r="QZK136" s="17"/>
      <c r="QZL136" s="17"/>
      <c r="QZM136" s="17"/>
      <c r="QZN136" s="17"/>
      <c r="QZO136" s="17"/>
      <c r="QZP136" s="17"/>
      <c r="QZQ136" s="17"/>
      <c r="QZR136" s="17"/>
      <c r="QZS136" s="17"/>
      <c r="QZT136" s="17"/>
      <c r="QZU136" s="17"/>
      <c r="QZV136" s="17"/>
      <c r="QZW136" s="17"/>
      <c r="QZX136" s="17"/>
      <c r="QZY136" s="17"/>
      <c r="QZZ136" s="17"/>
      <c r="RAA136" s="17"/>
      <c r="RAB136" s="17"/>
      <c r="RAC136" s="17"/>
      <c r="RAD136" s="17"/>
      <c r="RAE136" s="17"/>
      <c r="RAF136" s="17"/>
      <c r="RAG136" s="17"/>
      <c r="RAH136" s="17"/>
      <c r="RAI136" s="17"/>
      <c r="RAJ136" s="17"/>
      <c r="RAK136" s="17"/>
      <c r="RAL136" s="17"/>
      <c r="RAM136" s="17"/>
      <c r="RAN136" s="17"/>
      <c r="RAO136" s="17"/>
      <c r="RAP136" s="17"/>
      <c r="RAQ136" s="17"/>
      <c r="RAR136" s="17"/>
      <c r="RAS136" s="17"/>
      <c r="RAT136" s="17"/>
      <c r="RAU136" s="17"/>
      <c r="RAV136" s="17"/>
      <c r="RAW136" s="17"/>
      <c r="RAX136" s="17"/>
      <c r="RAY136" s="17"/>
      <c r="RAZ136" s="17"/>
      <c r="RBA136" s="17"/>
      <c r="RBB136" s="17"/>
      <c r="RBC136" s="17"/>
      <c r="RBD136" s="17"/>
      <c r="RBE136" s="17"/>
      <c r="RBF136" s="17"/>
      <c r="RBG136" s="17"/>
      <c r="RBH136" s="17"/>
      <c r="RBI136" s="17"/>
      <c r="RBJ136" s="17"/>
      <c r="RBK136" s="17"/>
      <c r="RBL136" s="17"/>
      <c r="RBM136" s="17"/>
      <c r="RBN136" s="17"/>
      <c r="RBO136" s="17"/>
      <c r="RBP136" s="17"/>
      <c r="RBQ136" s="17"/>
      <c r="RBR136" s="17"/>
      <c r="RBS136" s="17"/>
      <c r="RBT136" s="17"/>
      <c r="RBU136" s="17"/>
      <c r="RBV136" s="17"/>
      <c r="RBW136" s="17"/>
      <c r="RBX136" s="17"/>
      <c r="RBY136" s="17"/>
      <c r="RBZ136" s="17"/>
      <c r="RCA136" s="17"/>
      <c r="RCB136" s="17"/>
      <c r="RCC136" s="17"/>
      <c r="RCD136" s="17"/>
      <c r="RCE136" s="17"/>
      <c r="RCF136" s="17"/>
      <c r="RCG136" s="17"/>
      <c r="RCH136" s="17"/>
      <c r="RCI136" s="17"/>
      <c r="RCJ136" s="17"/>
      <c r="RCK136" s="17"/>
      <c r="RCL136" s="17"/>
      <c r="RCM136" s="17"/>
      <c r="RCN136" s="17"/>
      <c r="RCO136" s="17"/>
      <c r="RCP136" s="17"/>
      <c r="RCQ136" s="17"/>
      <c r="RCR136" s="17"/>
      <c r="RCS136" s="17"/>
      <c r="RCT136" s="17"/>
      <c r="RCU136" s="17"/>
      <c r="RCV136" s="17"/>
      <c r="RCW136" s="17"/>
      <c r="RCX136" s="17"/>
      <c r="RCY136" s="17"/>
      <c r="RCZ136" s="17"/>
      <c r="RDA136" s="17"/>
      <c r="RDB136" s="17"/>
      <c r="RDC136" s="17"/>
      <c r="RDD136" s="17"/>
      <c r="RDE136" s="17"/>
      <c r="RDF136" s="17"/>
      <c r="RDG136" s="17"/>
      <c r="RDH136" s="17"/>
      <c r="RDI136" s="17"/>
      <c r="RDJ136" s="17"/>
      <c r="RDK136" s="17"/>
      <c r="RDL136" s="17"/>
      <c r="RDM136" s="17"/>
      <c r="RDN136" s="17"/>
      <c r="RDO136" s="17"/>
      <c r="RDP136" s="17"/>
      <c r="RDQ136" s="17"/>
      <c r="RDR136" s="17"/>
      <c r="RDS136" s="17"/>
      <c r="RDT136" s="17"/>
      <c r="RDU136" s="17"/>
      <c r="RDV136" s="17"/>
      <c r="RDW136" s="17"/>
      <c r="RDX136" s="17"/>
      <c r="RDY136" s="17"/>
      <c r="RDZ136" s="17"/>
      <c r="REA136" s="17"/>
      <c r="REB136" s="17"/>
      <c r="REC136" s="17"/>
      <c r="RED136" s="17"/>
      <c r="REE136" s="17"/>
      <c r="REF136" s="17"/>
      <c r="REG136" s="17"/>
      <c r="REH136" s="17"/>
      <c r="REI136" s="17"/>
      <c r="REJ136" s="17"/>
      <c r="REK136" s="17"/>
      <c r="REL136" s="17"/>
      <c r="REM136" s="17"/>
      <c r="REN136" s="17"/>
      <c r="REO136" s="17"/>
      <c r="REP136" s="17"/>
      <c r="REQ136" s="17"/>
      <c r="RER136" s="17"/>
      <c r="RES136" s="17"/>
      <c r="RET136" s="17"/>
      <c r="REU136" s="17"/>
      <c r="REV136" s="17"/>
      <c r="REW136" s="17"/>
      <c r="REX136" s="17"/>
      <c r="REY136" s="17"/>
      <c r="REZ136" s="17"/>
      <c r="RFA136" s="17"/>
      <c r="RFB136" s="17"/>
      <c r="RFC136" s="17"/>
      <c r="RFD136" s="17"/>
      <c r="RFE136" s="17"/>
      <c r="RFF136" s="17"/>
      <c r="RFG136" s="17"/>
      <c r="RFH136" s="17"/>
      <c r="RFI136" s="17"/>
      <c r="RFJ136" s="17"/>
      <c r="RFK136" s="17"/>
      <c r="RFL136" s="17"/>
      <c r="RFM136" s="17"/>
      <c r="RFN136" s="17"/>
      <c r="RFO136" s="17"/>
      <c r="RFP136" s="17"/>
      <c r="RFQ136" s="17"/>
      <c r="RFR136" s="17"/>
      <c r="RFS136" s="17"/>
      <c r="RFT136" s="17"/>
      <c r="RFU136" s="17"/>
      <c r="RFV136" s="17"/>
      <c r="RFW136" s="17"/>
      <c r="RFX136" s="17"/>
      <c r="RFY136" s="17"/>
      <c r="RFZ136" s="17"/>
      <c r="RGA136" s="17"/>
      <c r="RGB136" s="17"/>
      <c r="RGC136" s="17"/>
      <c r="RGD136" s="17"/>
      <c r="RGE136" s="17"/>
      <c r="RGF136" s="17"/>
      <c r="RGG136" s="17"/>
      <c r="RGH136" s="17"/>
      <c r="RGI136" s="17"/>
      <c r="RGJ136" s="17"/>
      <c r="RGK136" s="17"/>
      <c r="RGL136" s="17"/>
      <c r="RGM136" s="17"/>
      <c r="RGN136" s="17"/>
      <c r="RGO136" s="17"/>
      <c r="RGP136" s="17"/>
      <c r="RGQ136" s="17"/>
      <c r="RGR136" s="17"/>
      <c r="RGS136" s="17"/>
      <c r="RGT136" s="17"/>
      <c r="RGU136" s="17"/>
      <c r="RGV136" s="17"/>
      <c r="RGW136" s="17"/>
      <c r="RGX136" s="17"/>
      <c r="RGY136" s="17"/>
      <c r="RGZ136" s="17"/>
      <c r="RHA136" s="17"/>
      <c r="RHB136" s="17"/>
      <c r="RHC136" s="17"/>
      <c r="RHD136" s="17"/>
      <c r="RHE136" s="17"/>
      <c r="RHF136" s="17"/>
      <c r="RHG136" s="17"/>
      <c r="RHH136" s="17"/>
      <c r="RHI136" s="17"/>
      <c r="RHJ136" s="17"/>
      <c r="RHK136" s="17"/>
      <c r="RHL136" s="17"/>
      <c r="RHM136" s="17"/>
      <c r="RHN136" s="17"/>
      <c r="RHO136" s="17"/>
      <c r="RHP136" s="17"/>
      <c r="RHQ136" s="17"/>
      <c r="RHR136" s="17"/>
      <c r="RHS136" s="17"/>
      <c r="RHT136" s="17"/>
      <c r="RHU136" s="17"/>
      <c r="RHV136" s="17"/>
      <c r="RHW136" s="17"/>
      <c r="RHX136" s="17"/>
      <c r="RHY136" s="17"/>
      <c r="RHZ136" s="17"/>
      <c r="RIA136" s="17"/>
      <c r="RIB136" s="17"/>
      <c r="RIC136" s="17"/>
      <c r="RID136" s="17"/>
      <c r="RIE136" s="17"/>
      <c r="RIF136" s="17"/>
      <c r="RIG136" s="17"/>
      <c r="RIH136" s="17"/>
      <c r="RII136" s="17"/>
      <c r="RIJ136" s="17"/>
      <c r="RIK136" s="17"/>
      <c r="RIL136" s="17"/>
      <c r="RIM136" s="17"/>
      <c r="RIN136" s="17"/>
      <c r="RIO136" s="17"/>
      <c r="RIP136" s="17"/>
      <c r="RIQ136" s="17"/>
      <c r="RIR136" s="17"/>
      <c r="RIS136" s="17"/>
      <c r="RIT136" s="17"/>
      <c r="RIU136" s="17"/>
      <c r="RIV136" s="17"/>
      <c r="RIW136" s="17"/>
      <c r="RIX136" s="17"/>
      <c r="RIY136" s="17"/>
      <c r="RIZ136" s="17"/>
      <c r="RJA136" s="17"/>
      <c r="RJB136" s="17"/>
      <c r="RJC136" s="17"/>
      <c r="RJD136" s="17"/>
      <c r="RJE136" s="17"/>
      <c r="RJF136" s="17"/>
      <c r="RJG136" s="17"/>
      <c r="RJH136" s="17"/>
      <c r="RJI136" s="17"/>
      <c r="RJJ136" s="17"/>
      <c r="RJK136" s="17"/>
      <c r="RJL136" s="17"/>
      <c r="RJM136" s="17"/>
      <c r="RJN136" s="17"/>
      <c r="RJO136" s="17"/>
      <c r="RJP136" s="17"/>
      <c r="RJQ136" s="17"/>
      <c r="RJR136" s="17"/>
      <c r="RJS136" s="17"/>
      <c r="RJT136" s="17"/>
      <c r="RJU136" s="17"/>
      <c r="RJV136" s="17"/>
      <c r="RJW136" s="17"/>
      <c r="RJX136" s="17"/>
      <c r="RJY136" s="17"/>
      <c r="RJZ136" s="17"/>
      <c r="RKA136" s="17"/>
      <c r="RKB136" s="17"/>
      <c r="RKC136" s="17"/>
      <c r="RKD136" s="17"/>
      <c r="RKE136" s="17"/>
      <c r="RKF136" s="17"/>
      <c r="RKG136" s="17"/>
      <c r="RKH136" s="17"/>
      <c r="RKI136" s="17"/>
      <c r="RKJ136" s="17"/>
      <c r="RKK136" s="17"/>
      <c r="RKL136" s="17"/>
      <c r="RKM136" s="17"/>
      <c r="RKN136" s="17"/>
      <c r="RKO136" s="17"/>
      <c r="RKP136" s="17"/>
      <c r="RKQ136" s="17"/>
      <c r="RKR136" s="17"/>
      <c r="RKS136" s="17"/>
      <c r="RKT136" s="17"/>
      <c r="RKU136" s="17"/>
      <c r="RKV136" s="17"/>
      <c r="RKW136" s="17"/>
      <c r="RKX136" s="17"/>
      <c r="RKY136" s="17"/>
      <c r="RKZ136" s="17"/>
      <c r="RLA136" s="17"/>
      <c r="RLB136" s="17"/>
      <c r="RLC136" s="17"/>
      <c r="RLD136" s="17"/>
      <c r="RLE136" s="17"/>
      <c r="RLF136" s="17"/>
      <c r="RLG136" s="17"/>
      <c r="RLH136" s="17"/>
      <c r="RLI136" s="17"/>
      <c r="RLJ136" s="17"/>
      <c r="RLK136" s="17"/>
      <c r="RLL136" s="17"/>
      <c r="RLM136" s="17"/>
      <c r="RLN136" s="17"/>
      <c r="RLO136" s="17"/>
      <c r="RLP136" s="17"/>
      <c r="RLQ136" s="17"/>
      <c r="RLR136" s="17"/>
      <c r="RLS136" s="17"/>
      <c r="RLT136" s="17"/>
      <c r="RLU136" s="17"/>
      <c r="RLV136" s="17"/>
      <c r="RLW136" s="17"/>
      <c r="RLX136" s="17"/>
      <c r="RLY136" s="17"/>
      <c r="RLZ136" s="17"/>
      <c r="RMA136" s="17"/>
      <c r="RMB136" s="17"/>
      <c r="RMC136" s="17"/>
      <c r="RMD136" s="17"/>
      <c r="RME136" s="17"/>
      <c r="RMF136" s="17"/>
      <c r="RMG136" s="17"/>
      <c r="RMH136" s="17"/>
      <c r="RMI136" s="17"/>
      <c r="RMJ136" s="17"/>
      <c r="RMK136" s="17"/>
      <c r="RML136" s="17"/>
      <c r="RMM136" s="17"/>
      <c r="RMN136" s="17"/>
      <c r="RMO136" s="17"/>
      <c r="RMP136" s="17"/>
      <c r="RMQ136" s="17"/>
      <c r="RMR136" s="17"/>
      <c r="RMS136" s="17"/>
      <c r="RMT136" s="17"/>
      <c r="RMU136" s="17"/>
      <c r="RMV136" s="17"/>
      <c r="RMW136" s="17"/>
      <c r="RMX136" s="17"/>
      <c r="RMY136" s="17"/>
      <c r="RMZ136" s="17"/>
      <c r="RNA136" s="17"/>
      <c r="RNB136" s="17"/>
      <c r="RNC136" s="17"/>
      <c r="RND136" s="17"/>
      <c r="RNE136" s="17"/>
      <c r="RNF136" s="17"/>
      <c r="RNG136" s="17"/>
      <c r="RNH136" s="17"/>
      <c r="RNI136" s="17"/>
      <c r="RNJ136" s="17"/>
      <c r="RNK136" s="17"/>
      <c r="RNL136" s="17"/>
      <c r="RNM136" s="17"/>
      <c r="RNN136" s="17"/>
      <c r="RNO136" s="17"/>
      <c r="RNP136" s="17"/>
      <c r="RNQ136" s="17"/>
      <c r="RNR136" s="17"/>
      <c r="RNS136" s="17"/>
      <c r="RNT136" s="17"/>
      <c r="RNU136" s="17"/>
      <c r="RNV136" s="17"/>
      <c r="RNW136" s="17"/>
      <c r="RNX136" s="17"/>
      <c r="RNY136" s="17"/>
      <c r="RNZ136" s="17"/>
      <c r="ROA136" s="17"/>
      <c r="ROB136" s="17"/>
      <c r="ROC136" s="17"/>
      <c r="ROD136" s="17"/>
      <c r="ROE136" s="17"/>
      <c r="ROF136" s="17"/>
      <c r="ROG136" s="17"/>
      <c r="ROH136" s="17"/>
      <c r="ROI136" s="17"/>
      <c r="ROJ136" s="17"/>
      <c r="ROK136" s="17"/>
      <c r="ROL136" s="17"/>
      <c r="ROM136" s="17"/>
      <c r="RON136" s="17"/>
      <c r="ROO136" s="17"/>
      <c r="ROP136" s="17"/>
      <c r="ROQ136" s="17"/>
      <c r="ROR136" s="17"/>
      <c r="ROS136" s="17"/>
      <c r="ROT136" s="17"/>
      <c r="ROU136" s="17"/>
      <c r="ROV136" s="17"/>
      <c r="ROW136" s="17"/>
      <c r="ROX136" s="17"/>
      <c r="ROY136" s="17"/>
      <c r="ROZ136" s="17"/>
      <c r="RPA136" s="17"/>
      <c r="RPB136" s="17"/>
      <c r="RPC136" s="17"/>
      <c r="RPD136" s="17"/>
      <c r="RPE136" s="17"/>
      <c r="RPF136" s="17"/>
      <c r="RPG136" s="17"/>
      <c r="RPH136" s="17"/>
      <c r="RPI136" s="17"/>
      <c r="RPJ136" s="17"/>
      <c r="RPK136" s="17"/>
      <c r="RPL136" s="17"/>
      <c r="RPM136" s="17"/>
      <c r="RPN136" s="17"/>
      <c r="RPO136" s="17"/>
      <c r="RPP136" s="17"/>
      <c r="RPQ136" s="17"/>
      <c r="RPR136" s="17"/>
      <c r="RPS136" s="17"/>
      <c r="RPT136" s="17"/>
      <c r="RPU136" s="17"/>
      <c r="RPV136" s="17"/>
      <c r="RPW136" s="17"/>
      <c r="RPX136" s="17"/>
      <c r="RPY136" s="17"/>
      <c r="RPZ136" s="17"/>
      <c r="RQA136" s="17"/>
      <c r="RQB136" s="17"/>
      <c r="RQC136" s="17"/>
      <c r="RQD136" s="17"/>
      <c r="RQE136" s="17"/>
      <c r="RQF136" s="17"/>
      <c r="RQG136" s="17"/>
      <c r="RQH136" s="17"/>
      <c r="RQI136" s="17"/>
      <c r="RQJ136" s="17"/>
      <c r="RQK136" s="17"/>
      <c r="RQL136" s="17"/>
      <c r="RQM136" s="17"/>
      <c r="RQN136" s="17"/>
      <c r="RQO136" s="17"/>
      <c r="RQP136" s="17"/>
      <c r="RQQ136" s="17"/>
      <c r="RQR136" s="17"/>
      <c r="RQS136" s="17"/>
      <c r="RQT136" s="17"/>
      <c r="RQU136" s="17"/>
      <c r="RQV136" s="17"/>
      <c r="RQW136" s="17"/>
      <c r="RQX136" s="17"/>
      <c r="RQY136" s="17"/>
      <c r="RQZ136" s="17"/>
      <c r="RRA136" s="17"/>
      <c r="RRB136" s="17"/>
      <c r="RRC136" s="17"/>
      <c r="RRD136" s="17"/>
      <c r="RRE136" s="17"/>
      <c r="RRF136" s="17"/>
      <c r="RRG136" s="17"/>
      <c r="RRH136" s="17"/>
      <c r="RRI136" s="17"/>
      <c r="RRJ136" s="17"/>
      <c r="RRK136" s="17"/>
      <c r="RRL136" s="17"/>
      <c r="RRM136" s="17"/>
      <c r="RRN136" s="17"/>
      <c r="RRO136" s="17"/>
      <c r="RRP136" s="17"/>
      <c r="RRQ136" s="17"/>
      <c r="RRR136" s="17"/>
      <c r="RRS136" s="17"/>
      <c r="RRT136" s="17"/>
      <c r="RRU136" s="17"/>
      <c r="RRV136" s="17"/>
      <c r="RRW136" s="17"/>
      <c r="RRX136" s="17"/>
      <c r="RRY136" s="17"/>
      <c r="RRZ136" s="17"/>
      <c r="RSA136" s="17"/>
      <c r="RSB136" s="17"/>
      <c r="RSC136" s="17"/>
      <c r="RSD136" s="17"/>
      <c r="RSE136" s="17"/>
      <c r="RSF136" s="17"/>
      <c r="RSG136" s="17"/>
      <c r="RSH136" s="17"/>
      <c r="RSI136" s="17"/>
      <c r="RSJ136" s="17"/>
      <c r="RSK136" s="17"/>
      <c r="RSL136" s="17"/>
      <c r="RSM136" s="17"/>
      <c r="RSN136" s="17"/>
      <c r="RSO136" s="17"/>
      <c r="RSP136" s="17"/>
      <c r="RSQ136" s="17"/>
      <c r="RSR136" s="17"/>
      <c r="RSS136" s="17"/>
      <c r="RST136" s="17"/>
      <c r="RSU136" s="17"/>
      <c r="RSV136" s="17"/>
      <c r="RSW136" s="17"/>
      <c r="RSX136" s="17"/>
      <c r="RSY136" s="17"/>
      <c r="RSZ136" s="17"/>
      <c r="RTA136" s="17"/>
      <c r="RTB136" s="17"/>
      <c r="RTC136" s="17"/>
      <c r="RTD136" s="17"/>
      <c r="RTE136" s="17"/>
      <c r="RTF136" s="17"/>
      <c r="RTG136" s="17"/>
      <c r="RTH136" s="17"/>
      <c r="RTI136" s="17"/>
      <c r="RTJ136" s="17"/>
      <c r="RTK136" s="17"/>
      <c r="RTL136" s="17"/>
      <c r="RTM136" s="17"/>
      <c r="RTN136" s="17"/>
      <c r="RTO136" s="17"/>
      <c r="RTP136" s="17"/>
      <c r="RTQ136" s="17"/>
      <c r="RTR136" s="17"/>
      <c r="RTS136" s="17"/>
      <c r="RTT136" s="17"/>
      <c r="RTU136" s="17"/>
      <c r="RTV136" s="17"/>
      <c r="RTW136" s="17"/>
      <c r="RTX136" s="17"/>
      <c r="RTY136" s="17"/>
      <c r="RTZ136" s="17"/>
      <c r="RUA136" s="17"/>
      <c r="RUB136" s="17"/>
      <c r="RUC136" s="17"/>
      <c r="RUD136" s="17"/>
      <c r="RUE136" s="17"/>
      <c r="RUF136" s="17"/>
      <c r="RUG136" s="17"/>
      <c r="RUH136" s="17"/>
      <c r="RUI136" s="17"/>
      <c r="RUJ136" s="17"/>
      <c r="RUK136" s="17"/>
      <c r="RUL136" s="17"/>
      <c r="RUM136" s="17"/>
      <c r="RUN136" s="17"/>
      <c r="RUO136" s="17"/>
      <c r="RUP136" s="17"/>
      <c r="RUQ136" s="17"/>
      <c r="RUR136" s="17"/>
      <c r="RUS136" s="17"/>
      <c r="RUT136" s="17"/>
      <c r="RUU136" s="17"/>
      <c r="RUV136" s="17"/>
      <c r="RUW136" s="17"/>
      <c r="RUX136" s="17"/>
      <c r="RUY136" s="17"/>
      <c r="RUZ136" s="17"/>
      <c r="RVA136" s="17"/>
      <c r="RVB136" s="17"/>
      <c r="RVC136" s="17"/>
      <c r="RVD136" s="17"/>
      <c r="RVE136" s="17"/>
      <c r="RVF136" s="17"/>
      <c r="RVG136" s="17"/>
      <c r="RVH136" s="17"/>
      <c r="RVI136" s="17"/>
      <c r="RVJ136" s="17"/>
      <c r="RVK136" s="17"/>
      <c r="RVL136" s="17"/>
      <c r="RVM136" s="17"/>
      <c r="RVN136" s="17"/>
      <c r="RVO136" s="17"/>
      <c r="RVP136" s="17"/>
      <c r="RVQ136" s="17"/>
      <c r="RVR136" s="17"/>
      <c r="RVS136" s="17"/>
      <c r="RVT136" s="17"/>
      <c r="RVU136" s="17"/>
      <c r="RVV136" s="17"/>
      <c r="RVW136" s="17"/>
      <c r="RVX136" s="17"/>
      <c r="RVY136" s="17"/>
      <c r="RVZ136" s="17"/>
      <c r="RWA136" s="17"/>
      <c r="RWB136" s="17"/>
      <c r="RWC136" s="17"/>
      <c r="RWD136" s="17"/>
      <c r="RWE136" s="17"/>
      <c r="RWF136" s="17"/>
      <c r="RWG136" s="17"/>
      <c r="RWH136" s="17"/>
      <c r="RWI136" s="17"/>
      <c r="RWJ136" s="17"/>
      <c r="RWK136" s="17"/>
      <c r="RWL136" s="17"/>
      <c r="RWM136" s="17"/>
      <c r="RWN136" s="17"/>
      <c r="RWO136" s="17"/>
      <c r="RWP136" s="17"/>
      <c r="RWQ136" s="17"/>
      <c r="RWR136" s="17"/>
      <c r="RWS136" s="17"/>
      <c r="RWT136" s="17"/>
      <c r="RWU136" s="17"/>
      <c r="RWV136" s="17"/>
      <c r="RWW136" s="17"/>
      <c r="RWX136" s="17"/>
      <c r="RWY136" s="17"/>
      <c r="RWZ136" s="17"/>
      <c r="RXA136" s="17"/>
      <c r="RXB136" s="17"/>
      <c r="RXC136" s="17"/>
      <c r="RXD136" s="17"/>
      <c r="RXE136" s="17"/>
      <c r="RXF136" s="17"/>
      <c r="RXG136" s="17"/>
      <c r="RXH136" s="17"/>
      <c r="RXI136" s="17"/>
      <c r="RXJ136" s="17"/>
      <c r="RXK136" s="17"/>
      <c r="RXL136" s="17"/>
      <c r="RXM136" s="17"/>
      <c r="RXN136" s="17"/>
      <c r="RXO136" s="17"/>
      <c r="RXP136" s="17"/>
      <c r="RXQ136" s="17"/>
      <c r="RXR136" s="17"/>
      <c r="RXS136" s="17"/>
      <c r="RXT136" s="17"/>
      <c r="RXU136" s="17"/>
      <c r="RXV136" s="17"/>
      <c r="RXW136" s="17"/>
      <c r="RXX136" s="17"/>
      <c r="RXY136" s="17"/>
      <c r="RXZ136" s="17"/>
      <c r="RYA136" s="17"/>
      <c r="RYB136" s="17"/>
      <c r="RYC136" s="17"/>
      <c r="RYD136" s="17"/>
      <c r="RYE136" s="17"/>
      <c r="RYF136" s="17"/>
      <c r="RYG136" s="17"/>
      <c r="RYH136" s="17"/>
      <c r="RYI136" s="17"/>
      <c r="RYJ136" s="17"/>
      <c r="RYK136" s="17"/>
      <c r="RYL136" s="17"/>
      <c r="RYM136" s="17"/>
      <c r="RYN136" s="17"/>
      <c r="RYO136" s="17"/>
      <c r="RYP136" s="17"/>
      <c r="RYQ136" s="17"/>
      <c r="RYR136" s="17"/>
      <c r="RYS136" s="17"/>
      <c r="RYT136" s="17"/>
      <c r="RYU136" s="17"/>
      <c r="RYV136" s="17"/>
      <c r="RYW136" s="17"/>
      <c r="RYX136" s="17"/>
      <c r="RYY136" s="17"/>
      <c r="RYZ136" s="17"/>
      <c r="RZA136" s="17"/>
      <c r="RZB136" s="17"/>
      <c r="RZC136" s="17"/>
      <c r="RZD136" s="17"/>
      <c r="RZE136" s="17"/>
      <c r="RZF136" s="17"/>
      <c r="RZG136" s="17"/>
      <c r="RZH136" s="17"/>
      <c r="RZI136" s="17"/>
      <c r="RZJ136" s="17"/>
      <c r="RZK136" s="17"/>
      <c r="RZL136" s="17"/>
      <c r="RZM136" s="17"/>
      <c r="RZN136" s="17"/>
      <c r="RZO136" s="17"/>
      <c r="RZP136" s="17"/>
      <c r="RZQ136" s="17"/>
      <c r="RZR136" s="17"/>
      <c r="RZS136" s="17"/>
      <c r="RZT136" s="17"/>
      <c r="RZU136" s="17"/>
      <c r="RZV136" s="17"/>
      <c r="RZW136" s="17"/>
      <c r="RZX136" s="17"/>
      <c r="RZY136" s="17"/>
      <c r="RZZ136" s="17"/>
      <c r="SAA136" s="17"/>
      <c r="SAB136" s="17"/>
      <c r="SAC136" s="17"/>
      <c r="SAD136" s="17"/>
      <c r="SAE136" s="17"/>
      <c r="SAF136" s="17"/>
      <c r="SAG136" s="17"/>
      <c r="SAH136" s="17"/>
      <c r="SAI136" s="17"/>
      <c r="SAJ136" s="17"/>
      <c r="SAK136" s="17"/>
      <c r="SAL136" s="17"/>
      <c r="SAM136" s="17"/>
      <c r="SAN136" s="17"/>
      <c r="SAO136" s="17"/>
      <c r="SAP136" s="17"/>
      <c r="SAQ136" s="17"/>
      <c r="SAR136" s="17"/>
      <c r="SAS136" s="17"/>
      <c r="SAT136" s="17"/>
      <c r="SAU136" s="17"/>
      <c r="SAV136" s="17"/>
      <c r="SAW136" s="17"/>
      <c r="SAX136" s="17"/>
      <c r="SAY136" s="17"/>
      <c r="SAZ136" s="17"/>
      <c r="SBA136" s="17"/>
      <c r="SBB136" s="17"/>
      <c r="SBC136" s="17"/>
      <c r="SBD136" s="17"/>
      <c r="SBE136" s="17"/>
      <c r="SBF136" s="17"/>
      <c r="SBG136" s="17"/>
      <c r="SBH136" s="17"/>
      <c r="SBI136" s="17"/>
      <c r="SBJ136" s="17"/>
      <c r="SBK136" s="17"/>
      <c r="SBL136" s="17"/>
      <c r="SBM136" s="17"/>
      <c r="SBN136" s="17"/>
      <c r="SBO136" s="17"/>
      <c r="SBP136" s="17"/>
      <c r="SBQ136" s="17"/>
      <c r="SBR136" s="17"/>
      <c r="SBS136" s="17"/>
      <c r="SBT136" s="17"/>
      <c r="SBU136" s="17"/>
      <c r="SBV136" s="17"/>
      <c r="SBW136" s="17"/>
      <c r="SBX136" s="17"/>
      <c r="SBY136" s="17"/>
      <c r="SBZ136" s="17"/>
      <c r="SCA136" s="17"/>
      <c r="SCB136" s="17"/>
      <c r="SCC136" s="17"/>
      <c r="SCD136" s="17"/>
      <c r="SCE136" s="17"/>
      <c r="SCF136" s="17"/>
      <c r="SCG136" s="17"/>
      <c r="SCH136" s="17"/>
      <c r="SCI136" s="17"/>
      <c r="SCJ136" s="17"/>
      <c r="SCK136" s="17"/>
      <c r="SCL136" s="17"/>
      <c r="SCM136" s="17"/>
      <c r="SCN136" s="17"/>
      <c r="SCO136" s="17"/>
      <c r="SCP136" s="17"/>
      <c r="SCQ136" s="17"/>
      <c r="SCR136" s="17"/>
      <c r="SCS136" s="17"/>
      <c r="SCT136" s="17"/>
      <c r="SCU136" s="17"/>
      <c r="SCV136" s="17"/>
      <c r="SCW136" s="17"/>
      <c r="SCX136" s="17"/>
      <c r="SCY136" s="17"/>
      <c r="SCZ136" s="17"/>
      <c r="SDA136" s="17"/>
      <c r="SDB136" s="17"/>
      <c r="SDC136" s="17"/>
      <c r="SDD136" s="17"/>
      <c r="SDE136" s="17"/>
      <c r="SDF136" s="17"/>
      <c r="SDG136" s="17"/>
      <c r="SDH136" s="17"/>
      <c r="SDI136" s="17"/>
      <c r="SDJ136" s="17"/>
      <c r="SDK136" s="17"/>
      <c r="SDL136" s="17"/>
      <c r="SDM136" s="17"/>
      <c r="SDN136" s="17"/>
      <c r="SDO136" s="17"/>
      <c r="SDP136" s="17"/>
      <c r="SDQ136" s="17"/>
      <c r="SDR136" s="17"/>
      <c r="SDS136" s="17"/>
      <c r="SDT136" s="17"/>
      <c r="SDU136" s="17"/>
      <c r="SDV136" s="17"/>
      <c r="SDW136" s="17"/>
      <c r="SDX136" s="17"/>
      <c r="SDY136" s="17"/>
      <c r="SDZ136" s="17"/>
      <c r="SEA136" s="17"/>
      <c r="SEB136" s="17"/>
      <c r="SEC136" s="17"/>
      <c r="SED136" s="17"/>
      <c r="SEE136" s="17"/>
      <c r="SEF136" s="17"/>
      <c r="SEG136" s="17"/>
      <c r="SEH136" s="17"/>
      <c r="SEI136" s="17"/>
      <c r="SEJ136" s="17"/>
      <c r="SEK136" s="17"/>
      <c r="SEL136" s="17"/>
      <c r="SEM136" s="17"/>
      <c r="SEN136" s="17"/>
      <c r="SEO136" s="17"/>
      <c r="SEP136" s="17"/>
      <c r="SEQ136" s="17"/>
      <c r="SER136" s="17"/>
      <c r="SES136" s="17"/>
      <c r="SET136" s="17"/>
      <c r="SEU136" s="17"/>
      <c r="SEV136" s="17"/>
      <c r="SEW136" s="17"/>
      <c r="SEX136" s="17"/>
      <c r="SEY136" s="17"/>
      <c r="SEZ136" s="17"/>
      <c r="SFA136" s="17"/>
      <c r="SFB136" s="17"/>
      <c r="SFC136" s="17"/>
      <c r="SFD136" s="17"/>
      <c r="SFE136" s="17"/>
      <c r="SFF136" s="17"/>
      <c r="SFG136" s="17"/>
      <c r="SFH136" s="17"/>
      <c r="SFI136" s="17"/>
      <c r="SFJ136" s="17"/>
      <c r="SFK136" s="17"/>
      <c r="SFL136" s="17"/>
      <c r="SFM136" s="17"/>
      <c r="SFN136" s="17"/>
      <c r="SFO136" s="17"/>
      <c r="SFP136" s="17"/>
      <c r="SFQ136" s="17"/>
      <c r="SFR136" s="17"/>
      <c r="SFS136" s="17"/>
      <c r="SFT136" s="17"/>
      <c r="SFU136" s="17"/>
      <c r="SFV136" s="17"/>
      <c r="SFW136" s="17"/>
      <c r="SFX136" s="17"/>
      <c r="SFY136" s="17"/>
      <c r="SFZ136" s="17"/>
      <c r="SGA136" s="17"/>
      <c r="SGB136" s="17"/>
      <c r="SGC136" s="17"/>
      <c r="SGD136" s="17"/>
      <c r="SGE136" s="17"/>
      <c r="SGF136" s="17"/>
      <c r="SGG136" s="17"/>
      <c r="SGH136" s="17"/>
      <c r="SGI136" s="17"/>
      <c r="SGJ136" s="17"/>
      <c r="SGK136" s="17"/>
      <c r="SGL136" s="17"/>
      <c r="SGM136" s="17"/>
      <c r="SGN136" s="17"/>
      <c r="SGO136" s="17"/>
      <c r="SGP136" s="17"/>
      <c r="SGQ136" s="17"/>
      <c r="SGR136" s="17"/>
      <c r="SGS136" s="17"/>
      <c r="SGT136" s="17"/>
      <c r="SGU136" s="17"/>
      <c r="SGV136" s="17"/>
      <c r="SGW136" s="17"/>
      <c r="SGX136" s="17"/>
      <c r="SGY136" s="17"/>
      <c r="SGZ136" s="17"/>
      <c r="SHA136" s="17"/>
      <c r="SHB136" s="17"/>
      <c r="SHC136" s="17"/>
      <c r="SHD136" s="17"/>
      <c r="SHE136" s="17"/>
      <c r="SHF136" s="17"/>
      <c r="SHG136" s="17"/>
      <c r="SHH136" s="17"/>
      <c r="SHI136" s="17"/>
      <c r="SHJ136" s="17"/>
      <c r="SHK136" s="17"/>
      <c r="SHL136" s="17"/>
      <c r="SHM136" s="17"/>
      <c r="SHN136" s="17"/>
      <c r="SHO136" s="17"/>
      <c r="SHP136" s="17"/>
      <c r="SHQ136" s="17"/>
      <c r="SHR136" s="17"/>
      <c r="SHS136" s="17"/>
      <c r="SHT136" s="17"/>
      <c r="SHU136" s="17"/>
      <c r="SHV136" s="17"/>
      <c r="SHW136" s="17"/>
      <c r="SHX136" s="17"/>
      <c r="SHY136" s="17"/>
      <c r="SHZ136" s="17"/>
      <c r="SIA136" s="17"/>
      <c r="SIB136" s="17"/>
      <c r="SIC136" s="17"/>
      <c r="SID136" s="17"/>
      <c r="SIE136" s="17"/>
      <c r="SIF136" s="17"/>
      <c r="SIG136" s="17"/>
      <c r="SIH136" s="17"/>
      <c r="SII136" s="17"/>
      <c r="SIJ136" s="17"/>
      <c r="SIK136" s="17"/>
      <c r="SIL136" s="17"/>
      <c r="SIM136" s="17"/>
      <c r="SIN136" s="17"/>
      <c r="SIO136" s="17"/>
      <c r="SIP136" s="17"/>
      <c r="SIQ136" s="17"/>
      <c r="SIR136" s="17"/>
      <c r="SIS136" s="17"/>
      <c r="SIT136" s="17"/>
      <c r="SIU136" s="17"/>
      <c r="SIV136" s="17"/>
      <c r="SIW136" s="17"/>
      <c r="SIX136" s="17"/>
      <c r="SIY136" s="17"/>
      <c r="SIZ136" s="17"/>
      <c r="SJA136" s="17"/>
      <c r="SJB136" s="17"/>
      <c r="SJC136" s="17"/>
      <c r="SJD136" s="17"/>
      <c r="SJE136" s="17"/>
      <c r="SJF136" s="17"/>
      <c r="SJG136" s="17"/>
      <c r="SJH136" s="17"/>
      <c r="SJI136" s="17"/>
      <c r="SJJ136" s="17"/>
      <c r="SJK136" s="17"/>
      <c r="SJL136" s="17"/>
      <c r="SJM136" s="17"/>
      <c r="SJN136" s="17"/>
      <c r="SJO136" s="17"/>
      <c r="SJP136" s="17"/>
      <c r="SJQ136" s="17"/>
      <c r="SJR136" s="17"/>
      <c r="SJS136" s="17"/>
      <c r="SJT136" s="17"/>
      <c r="SJU136" s="17"/>
      <c r="SJV136" s="17"/>
      <c r="SJW136" s="17"/>
      <c r="SJX136" s="17"/>
      <c r="SJY136" s="17"/>
      <c r="SJZ136" s="17"/>
      <c r="SKA136" s="17"/>
      <c r="SKB136" s="17"/>
      <c r="SKC136" s="17"/>
      <c r="SKD136" s="17"/>
      <c r="SKE136" s="17"/>
      <c r="SKF136" s="17"/>
      <c r="SKG136" s="17"/>
      <c r="SKH136" s="17"/>
      <c r="SKI136" s="17"/>
      <c r="SKJ136" s="17"/>
      <c r="SKK136" s="17"/>
      <c r="SKL136" s="17"/>
      <c r="SKM136" s="17"/>
      <c r="SKN136" s="17"/>
      <c r="SKO136" s="17"/>
      <c r="SKP136" s="17"/>
      <c r="SKQ136" s="17"/>
      <c r="SKR136" s="17"/>
      <c r="SKS136" s="17"/>
      <c r="SKT136" s="17"/>
      <c r="SKU136" s="17"/>
      <c r="SKV136" s="17"/>
      <c r="SKW136" s="17"/>
      <c r="SKX136" s="17"/>
      <c r="SKY136" s="17"/>
      <c r="SKZ136" s="17"/>
      <c r="SLA136" s="17"/>
      <c r="SLB136" s="17"/>
      <c r="SLC136" s="17"/>
      <c r="SLD136" s="17"/>
      <c r="SLE136" s="17"/>
      <c r="SLF136" s="17"/>
      <c r="SLG136" s="17"/>
      <c r="SLH136" s="17"/>
      <c r="SLI136" s="17"/>
      <c r="SLJ136" s="17"/>
      <c r="SLK136" s="17"/>
      <c r="SLL136" s="17"/>
      <c r="SLM136" s="17"/>
      <c r="SLN136" s="17"/>
      <c r="SLO136" s="17"/>
      <c r="SLP136" s="17"/>
      <c r="SLQ136" s="17"/>
      <c r="SLR136" s="17"/>
      <c r="SLS136" s="17"/>
      <c r="SLT136" s="17"/>
      <c r="SLU136" s="17"/>
      <c r="SLV136" s="17"/>
      <c r="SLW136" s="17"/>
      <c r="SLX136" s="17"/>
      <c r="SLY136" s="17"/>
      <c r="SLZ136" s="17"/>
      <c r="SMA136" s="17"/>
      <c r="SMB136" s="17"/>
      <c r="SMC136" s="17"/>
      <c r="SMD136" s="17"/>
      <c r="SME136" s="17"/>
      <c r="SMF136" s="17"/>
      <c r="SMG136" s="17"/>
      <c r="SMH136" s="17"/>
      <c r="SMI136" s="17"/>
      <c r="SMJ136" s="17"/>
      <c r="SMK136" s="17"/>
      <c r="SML136" s="17"/>
      <c r="SMM136" s="17"/>
      <c r="SMN136" s="17"/>
      <c r="SMO136" s="17"/>
      <c r="SMP136" s="17"/>
      <c r="SMQ136" s="17"/>
      <c r="SMR136" s="17"/>
      <c r="SMS136" s="17"/>
      <c r="SMT136" s="17"/>
      <c r="SMU136" s="17"/>
      <c r="SMV136" s="17"/>
      <c r="SMW136" s="17"/>
      <c r="SMX136" s="17"/>
      <c r="SMY136" s="17"/>
      <c r="SMZ136" s="17"/>
      <c r="SNA136" s="17"/>
      <c r="SNB136" s="17"/>
      <c r="SNC136" s="17"/>
      <c r="SND136" s="17"/>
      <c r="SNE136" s="17"/>
      <c r="SNF136" s="17"/>
      <c r="SNG136" s="17"/>
      <c r="SNH136" s="17"/>
      <c r="SNI136" s="17"/>
      <c r="SNJ136" s="17"/>
      <c r="SNK136" s="17"/>
      <c r="SNL136" s="17"/>
      <c r="SNM136" s="17"/>
      <c r="SNN136" s="17"/>
      <c r="SNO136" s="17"/>
      <c r="SNP136" s="17"/>
      <c r="SNQ136" s="17"/>
      <c r="SNR136" s="17"/>
      <c r="SNS136" s="17"/>
      <c r="SNT136" s="17"/>
      <c r="SNU136" s="17"/>
      <c r="SNV136" s="17"/>
      <c r="SNW136" s="17"/>
      <c r="SNX136" s="17"/>
      <c r="SNY136" s="17"/>
      <c r="SNZ136" s="17"/>
      <c r="SOA136" s="17"/>
      <c r="SOB136" s="17"/>
      <c r="SOC136" s="17"/>
      <c r="SOD136" s="17"/>
      <c r="SOE136" s="17"/>
      <c r="SOF136" s="17"/>
      <c r="SOG136" s="17"/>
      <c r="SOH136" s="17"/>
      <c r="SOI136" s="17"/>
      <c r="SOJ136" s="17"/>
      <c r="SOK136" s="17"/>
      <c r="SOL136" s="17"/>
      <c r="SOM136" s="17"/>
      <c r="SON136" s="17"/>
      <c r="SOO136" s="17"/>
      <c r="SOP136" s="17"/>
      <c r="SOQ136" s="17"/>
      <c r="SOR136" s="17"/>
      <c r="SOS136" s="17"/>
      <c r="SOT136" s="17"/>
      <c r="SOU136" s="17"/>
      <c r="SOV136" s="17"/>
      <c r="SOW136" s="17"/>
      <c r="SOX136" s="17"/>
      <c r="SOY136" s="17"/>
      <c r="SOZ136" s="17"/>
      <c r="SPA136" s="17"/>
      <c r="SPB136" s="17"/>
      <c r="SPC136" s="17"/>
      <c r="SPD136" s="17"/>
      <c r="SPE136" s="17"/>
      <c r="SPF136" s="17"/>
      <c r="SPG136" s="17"/>
      <c r="SPH136" s="17"/>
      <c r="SPI136" s="17"/>
      <c r="SPJ136" s="17"/>
      <c r="SPK136" s="17"/>
      <c r="SPL136" s="17"/>
      <c r="SPM136" s="17"/>
      <c r="SPN136" s="17"/>
      <c r="SPO136" s="17"/>
      <c r="SPP136" s="17"/>
      <c r="SPQ136" s="17"/>
      <c r="SPR136" s="17"/>
      <c r="SPS136" s="17"/>
      <c r="SPT136" s="17"/>
      <c r="SPU136" s="17"/>
      <c r="SPV136" s="17"/>
      <c r="SPW136" s="17"/>
      <c r="SPX136" s="17"/>
      <c r="SPY136" s="17"/>
      <c r="SPZ136" s="17"/>
      <c r="SQA136" s="17"/>
      <c r="SQB136" s="17"/>
      <c r="SQC136" s="17"/>
      <c r="SQD136" s="17"/>
      <c r="SQE136" s="17"/>
      <c r="SQF136" s="17"/>
      <c r="SQG136" s="17"/>
      <c r="SQH136" s="17"/>
      <c r="SQI136" s="17"/>
      <c r="SQJ136" s="17"/>
      <c r="SQK136" s="17"/>
      <c r="SQL136" s="17"/>
      <c r="SQM136" s="17"/>
      <c r="SQN136" s="17"/>
      <c r="SQO136" s="17"/>
      <c r="SQP136" s="17"/>
      <c r="SQQ136" s="17"/>
      <c r="SQR136" s="17"/>
      <c r="SQS136" s="17"/>
      <c r="SQT136" s="17"/>
      <c r="SQU136" s="17"/>
      <c r="SQV136" s="17"/>
      <c r="SQW136" s="17"/>
      <c r="SQX136" s="17"/>
      <c r="SQY136" s="17"/>
      <c r="SQZ136" s="17"/>
      <c r="SRA136" s="17"/>
      <c r="SRB136" s="17"/>
      <c r="SRC136" s="17"/>
      <c r="SRD136" s="17"/>
      <c r="SRE136" s="17"/>
      <c r="SRF136" s="17"/>
      <c r="SRG136" s="17"/>
      <c r="SRH136" s="17"/>
      <c r="SRI136" s="17"/>
      <c r="SRJ136" s="17"/>
      <c r="SRK136" s="17"/>
      <c r="SRL136" s="17"/>
      <c r="SRM136" s="17"/>
      <c r="SRN136" s="17"/>
      <c r="SRO136" s="17"/>
      <c r="SRP136" s="17"/>
      <c r="SRQ136" s="17"/>
      <c r="SRR136" s="17"/>
      <c r="SRS136" s="17"/>
      <c r="SRT136" s="17"/>
      <c r="SRU136" s="17"/>
      <c r="SRV136" s="17"/>
      <c r="SRW136" s="17"/>
      <c r="SRX136" s="17"/>
      <c r="SRY136" s="17"/>
      <c r="SRZ136" s="17"/>
      <c r="SSA136" s="17"/>
      <c r="SSB136" s="17"/>
      <c r="SSC136" s="17"/>
      <c r="SSD136" s="17"/>
      <c r="SSE136" s="17"/>
      <c r="SSF136" s="17"/>
      <c r="SSG136" s="17"/>
      <c r="SSH136" s="17"/>
      <c r="SSI136" s="17"/>
      <c r="SSJ136" s="17"/>
      <c r="SSK136" s="17"/>
      <c r="SSL136" s="17"/>
      <c r="SSM136" s="17"/>
      <c r="SSN136" s="17"/>
      <c r="SSO136" s="17"/>
      <c r="SSP136" s="17"/>
      <c r="SSQ136" s="17"/>
      <c r="SSR136" s="17"/>
      <c r="SSS136" s="17"/>
      <c r="SST136" s="17"/>
      <c r="SSU136" s="17"/>
      <c r="SSV136" s="17"/>
      <c r="SSW136" s="17"/>
      <c r="SSX136" s="17"/>
      <c r="SSY136" s="17"/>
      <c r="SSZ136" s="17"/>
      <c r="STA136" s="17"/>
      <c r="STB136" s="17"/>
      <c r="STC136" s="17"/>
      <c r="STD136" s="17"/>
      <c r="STE136" s="17"/>
      <c r="STF136" s="17"/>
      <c r="STG136" s="17"/>
      <c r="STH136" s="17"/>
      <c r="STI136" s="17"/>
      <c r="STJ136" s="17"/>
      <c r="STK136" s="17"/>
      <c r="STL136" s="17"/>
      <c r="STM136" s="17"/>
      <c r="STN136" s="17"/>
      <c r="STO136" s="17"/>
      <c r="STP136" s="17"/>
      <c r="STQ136" s="17"/>
      <c r="STR136" s="17"/>
      <c r="STS136" s="17"/>
      <c r="STT136" s="17"/>
      <c r="STU136" s="17"/>
      <c r="STV136" s="17"/>
      <c r="STW136" s="17"/>
      <c r="STX136" s="17"/>
      <c r="STY136" s="17"/>
      <c r="STZ136" s="17"/>
      <c r="SUA136" s="17"/>
      <c r="SUB136" s="17"/>
      <c r="SUC136" s="17"/>
      <c r="SUD136" s="17"/>
      <c r="SUE136" s="17"/>
      <c r="SUF136" s="17"/>
      <c r="SUG136" s="17"/>
      <c r="SUH136" s="17"/>
      <c r="SUI136" s="17"/>
      <c r="SUJ136" s="17"/>
      <c r="SUK136" s="17"/>
      <c r="SUL136" s="17"/>
      <c r="SUM136" s="17"/>
      <c r="SUN136" s="17"/>
      <c r="SUO136" s="17"/>
      <c r="SUP136" s="17"/>
      <c r="SUQ136" s="17"/>
      <c r="SUR136" s="17"/>
      <c r="SUS136" s="17"/>
      <c r="SUT136" s="17"/>
      <c r="SUU136" s="17"/>
      <c r="SUV136" s="17"/>
      <c r="SUW136" s="17"/>
      <c r="SUX136" s="17"/>
      <c r="SUY136" s="17"/>
      <c r="SUZ136" s="17"/>
      <c r="SVA136" s="17"/>
      <c r="SVB136" s="17"/>
      <c r="SVC136" s="17"/>
      <c r="SVD136" s="17"/>
      <c r="SVE136" s="17"/>
      <c r="SVF136" s="17"/>
      <c r="SVG136" s="17"/>
      <c r="SVH136" s="17"/>
      <c r="SVI136" s="17"/>
      <c r="SVJ136" s="17"/>
      <c r="SVK136" s="17"/>
      <c r="SVL136" s="17"/>
      <c r="SVM136" s="17"/>
      <c r="SVN136" s="17"/>
      <c r="SVO136" s="17"/>
      <c r="SVP136" s="17"/>
      <c r="SVQ136" s="17"/>
      <c r="SVR136" s="17"/>
      <c r="SVS136" s="17"/>
      <c r="SVT136" s="17"/>
      <c r="SVU136" s="17"/>
      <c r="SVV136" s="17"/>
      <c r="SVW136" s="17"/>
      <c r="SVX136" s="17"/>
      <c r="SVY136" s="17"/>
      <c r="SVZ136" s="17"/>
      <c r="SWA136" s="17"/>
      <c r="SWB136" s="17"/>
      <c r="SWC136" s="17"/>
      <c r="SWD136" s="17"/>
      <c r="SWE136" s="17"/>
      <c r="SWF136" s="17"/>
      <c r="SWG136" s="17"/>
      <c r="SWH136" s="17"/>
      <c r="SWI136" s="17"/>
      <c r="SWJ136" s="17"/>
      <c r="SWK136" s="17"/>
      <c r="SWL136" s="17"/>
      <c r="SWM136" s="17"/>
      <c r="SWN136" s="17"/>
      <c r="SWO136" s="17"/>
      <c r="SWP136" s="17"/>
      <c r="SWQ136" s="17"/>
      <c r="SWR136" s="17"/>
      <c r="SWS136" s="17"/>
      <c r="SWT136" s="17"/>
      <c r="SWU136" s="17"/>
      <c r="SWV136" s="17"/>
      <c r="SWW136" s="17"/>
      <c r="SWX136" s="17"/>
      <c r="SWY136" s="17"/>
      <c r="SWZ136" s="17"/>
      <c r="SXA136" s="17"/>
      <c r="SXB136" s="17"/>
      <c r="SXC136" s="17"/>
      <c r="SXD136" s="17"/>
      <c r="SXE136" s="17"/>
      <c r="SXF136" s="17"/>
      <c r="SXG136" s="17"/>
      <c r="SXH136" s="17"/>
      <c r="SXI136" s="17"/>
      <c r="SXJ136" s="17"/>
      <c r="SXK136" s="17"/>
      <c r="SXL136" s="17"/>
      <c r="SXM136" s="17"/>
      <c r="SXN136" s="17"/>
      <c r="SXO136" s="17"/>
      <c r="SXP136" s="17"/>
      <c r="SXQ136" s="17"/>
      <c r="SXR136" s="17"/>
      <c r="SXS136" s="17"/>
      <c r="SXT136" s="17"/>
      <c r="SXU136" s="17"/>
      <c r="SXV136" s="17"/>
      <c r="SXW136" s="17"/>
      <c r="SXX136" s="17"/>
      <c r="SXY136" s="17"/>
      <c r="SXZ136" s="17"/>
      <c r="SYA136" s="17"/>
      <c r="SYB136" s="17"/>
      <c r="SYC136" s="17"/>
      <c r="SYD136" s="17"/>
      <c r="SYE136" s="17"/>
      <c r="SYF136" s="17"/>
      <c r="SYG136" s="17"/>
      <c r="SYH136" s="17"/>
      <c r="SYI136" s="17"/>
      <c r="SYJ136" s="17"/>
      <c r="SYK136" s="17"/>
      <c r="SYL136" s="17"/>
      <c r="SYM136" s="17"/>
      <c r="SYN136" s="17"/>
      <c r="SYO136" s="17"/>
      <c r="SYP136" s="17"/>
      <c r="SYQ136" s="17"/>
      <c r="SYR136" s="17"/>
      <c r="SYS136" s="17"/>
      <c r="SYT136" s="17"/>
      <c r="SYU136" s="17"/>
      <c r="SYV136" s="17"/>
      <c r="SYW136" s="17"/>
      <c r="SYX136" s="17"/>
      <c r="SYY136" s="17"/>
      <c r="SYZ136" s="17"/>
      <c r="SZA136" s="17"/>
      <c r="SZB136" s="17"/>
      <c r="SZC136" s="17"/>
      <c r="SZD136" s="17"/>
      <c r="SZE136" s="17"/>
      <c r="SZF136" s="17"/>
      <c r="SZG136" s="17"/>
      <c r="SZH136" s="17"/>
      <c r="SZI136" s="17"/>
      <c r="SZJ136" s="17"/>
      <c r="SZK136" s="17"/>
      <c r="SZL136" s="17"/>
      <c r="SZM136" s="17"/>
      <c r="SZN136" s="17"/>
      <c r="SZO136" s="17"/>
      <c r="SZP136" s="17"/>
      <c r="SZQ136" s="17"/>
      <c r="SZR136" s="17"/>
      <c r="SZS136" s="17"/>
      <c r="SZT136" s="17"/>
      <c r="SZU136" s="17"/>
      <c r="SZV136" s="17"/>
      <c r="SZW136" s="17"/>
      <c r="SZX136" s="17"/>
      <c r="SZY136" s="17"/>
      <c r="SZZ136" s="17"/>
      <c r="TAA136" s="17"/>
      <c r="TAB136" s="17"/>
      <c r="TAC136" s="17"/>
      <c r="TAD136" s="17"/>
      <c r="TAE136" s="17"/>
      <c r="TAF136" s="17"/>
      <c r="TAG136" s="17"/>
      <c r="TAH136" s="17"/>
      <c r="TAI136" s="17"/>
      <c r="TAJ136" s="17"/>
      <c r="TAK136" s="17"/>
      <c r="TAL136" s="17"/>
      <c r="TAM136" s="17"/>
      <c r="TAN136" s="17"/>
      <c r="TAO136" s="17"/>
      <c r="TAP136" s="17"/>
      <c r="TAQ136" s="17"/>
      <c r="TAR136" s="17"/>
      <c r="TAS136" s="17"/>
      <c r="TAT136" s="17"/>
      <c r="TAU136" s="17"/>
      <c r="TAV136" s="17"/>
      <c r="TAW136" s="17"/>
      <c r="TAX136" s="17"/>
      <c r="TAY136" s="17"/>
      <c r="TAZ136" s="17"/>
      <c r="TBA136" s="17"/>
      <c r="TBB136" s="17"/>
      <c r="TBC136" s="17"/>
      <c r="TBD136" s="17"/>
      <c r="TBE136" s="17"/>
      <c r="TBF136" s="17"/>
      <c r="TBG136" s="17"/>
      <c r="TBH136" s="17"/>
      <c r="TBI136" s="17"/>
      <c r="TBJ136" s="17"/>
      <c r="TBK136" s="17"/>
      <c r="TBL136" s="17"/>
      <c r="TBM136" s="17"/>
      <c r="TBN136" s="17"/>
      <c r="TBO136" s="17"/>
      <c r="TBP136" s="17"/>
      <c r="TBQ136" s="17"/>
      <c r="TBR136" s="17"/>
      <c r="TBS136" s="17"/>
      <c r="TBT136" s="17"/>
      <c r="TBU136" s="17"/>
      <c r="TBV136" s="17"/>
      <c r="TBW136" s="17"/>
      <c r="TBX136" s="17"/>
      <c r="TBY136" s="17"/>
      <c r="TBZ136" s="17"/>
      <c r="TCA136" s="17"/>
      <c r="TCB136" s="17"/>
      <c r="TCC136" s="17"/>
      <c r="TCD136" s="17"/>
      <c r="TCE136" s="17"/>
      <c r="TCF136" s="17"/>
      <c r="TCG136" s="17"/>
      <c r="TCH136" s="17"/>
      <c r="TCI136" s="17"/>
      <c r="TCJ136" s="17"/>
      <c r="TCK136" s="17"/>
      <c r="TCL136" s="17"/>
      <c r="TCM136" s="17"/>
      <c r="TCN136" s="17"/>
      <c r="TCO136" s="17"/>
      <c r="TCP136" s="17"/>
      <c r="TCQ136" s="17"/>
      <c r="TCR136" s="17"/>
      <c r="TCS136" s="17"/>
      <c r="TCT136" s="17"/>
      <c r="TCU136" s="17"/>
      <c r="TCV136" s="17"/>
      <c r="TCW136" s="17"/>
      <c r="TCX136" s="17"/>
      <c r="TCY136" s="17"/>
      <c r="TCZ136" s="17"/>
      <c r="TDA136" s="17"/>
      <c r="TDB136" s="17"/>
      <c r="TDC136" s="17"/>
      <c r="TDD136" s="17"/>
      <c r="TDE136" s="17"/>
      <c r="TDF136" s="17"/>
      <c r="TDG136" s="17"/>
      <c r="TDH136" s="17"/>
      <c r="TDI136" s="17"/>
      <c r="TDJ136" s="17"/>
      <c r="TDK136" s="17"/>
      <c r="TDL136" s="17"/>
      <c r="TDM136" s="17"/>
      <c r="TDN136" s="17"/>
      <c r="TDO136" s="17"/>
      <c r="TDP136" s="17"/>
      <c r="TDQ136" s="17"/>
      <c r="TDR136" s="17"/>
      <c r="TDS136" s="17"/>
      <c r="TDT136" s="17"/>
      <c r="TDU136" s="17"/>
      <c r="TDV136" s="17"/>
      <c r="TDW136" s="17"/>
      <c r="TDX136" s="17"/>
      <c r="TDY136" s="17"/>
      <c r="TDZ136" s="17"/>
      <c r="TEA136" s="17"/>
      <c r="TEB136" s="17"/>
      <c r="TEC136" s="17"/>
      <c r="TED136" s="17"/>
      <c r="TEE136" s="17"/>
      <c r="TEF136" s="17"/>
      <c r="TEG136" s="17"/>
      <c r="TEH136" s="17"/>
      <c r="TEI136" s="17"/>
      <c r="TEJ136" s="17"/>
      <c r="TEK136" s="17"/>
      <c r="TEL136" s="17"/>
      <c r="TEM136" s="17"/>
      <c r="TEN136" s="17"/>
      <c r="TEO136" s="17"/>
      <c r="TEP136" s="17"/>
      <c r="TEQ136" s="17"/>
      <c r="TER136" s="17"/>
      <c r="TES136" s="17"/>
      <c r="TET136" s="17"/>
      <c r="TEU136" s="17"/>
      <c r="TEV136" s="17"/>
      <c r="TEW136" s="17"/>
      <c r="TEX136" s="17"/>
      <c r="TEY136" s="17"/>
      <c r="TEZ136" s="17"/>
      <c r="TFA136" s="17"/>
      <c r="TFB136" s="17"/>
      <c r="TFC136" s="17"/>
      <c r="TFD136" s="17"/>
      <c r="TFE136" s="17"/>
      <c r="TFF136" s="17"/>
      <c r="TFG136" s="17"/>
      <c r="TFH136" s="17"/>
      <c r="TFI136" s="17"/>
      <c r="TFJ136" s="17"/>
      <c r="TFK136" s="17"/>
      <c r="TFL136" s="17"/>
      <c r="TFM136" s="17"/>
      <c r="TFN136" s="17"/>
      <c r="TFO136" s="17"/>
      <c r="TFP136" s="17"/>
      <c r="TFQ136" s="17"/>
      <c r="TFR136" s="17"/>
      <c r="TFS136" s="17"/>
      <c r="TFT136" s="17"/>
      <c r="TFU136" s="17"/>
      <c r="TFV136" s="17"/>
      <c r="TFW136" s="17"/>
      <c r="TFX136" s="17"/>
      <c r="TFY136" s="17"/>
      <c r="TFZ136" s="17"/>
      <c r="TGA136" s="17"/>
      <c r="TGB136" s="17"/>
      <c r="TGC136" s="17"/>
      <c r="TGD136" s="17"/>
      <c r="TGE136" s="17"/>
      <c r="TGF136" s="17"/>
      <c r="TGG136" s="17"/>
      <c r="TGH136" s="17"/>
      <c r="TGI136" s="17"/>
      <c r="TGJ136" s="17"/>
      <c r="TGK136" s="17"/>
      <c r="TGL136" s="17"/>
      <c r="TGM136" s="17"/>
      <c r="TGN136" s="17"/>
      <c r="TGO136" s="17"/>
      <c r="TGP136" s="17"/>
      <c r="TGQ136" s="17"/>
      <c r="TGR136" s="17"/>
      <c r="TGS136" s="17"/>
      <c r="TGT136" s="17"/>
      <c r="TGU136" s="17"/>
      <c r="TGV136" s="17"/>
      <c r="TGW136" s="17"/>
      <c r="TGX136" s="17"/>
      <c r="TGY136" s="17"/>
      <c r="TGZ136" s="17"/>
      <c r="THA136" s="17"/>
      <c r="THB136" s="17"/>
      <c r="THC136" s="17"/>
      <c r="THD136" s="17"/>
      <c r="THE136" s="17"/>
      <c r="THF136" s="17"/>
      <c r="THG136" s="17"/>
      <c r="THH136" s="17"/>
      <c r="THI136" s="17"/>
      <c r="THJ136" s="17"/>
      <c r="THK136" s="17"/>
      <c r="THL136" s="17"/>
      <c r="THM136" s="17"/>
      <c r="THN136" s="17"/>
      <c r="THO136" s="17"/>
      <c r="THP136" s="17"/>
      <c r="THQ136" s="17"/>
      <c r="THR136" s="17"/>
      <c r="THS136" s="17"/>
      <c r="THT136" s="17"/>
      <c r="THU136" s="17"/>
      <c r="THV136" s="17"/>
      <c r="THW136" s="17"/>
      <c r="THX136" s="17"/>
      <c r="THY136" s="17"/>
      <c r="THZ136" s="17"/>
      <c r="TIA136" s="17"/>
      <c r="TIB136" s="17"/>
      <c r="TIC136" s="17"/>
      <c r="TID136" s="17"/>
      <c r="TIE136" s="17"/>
      <c r="TIF136" s="17"/>
      <c r="TIG136" s="17"/>
      <c r="TIH136" s="17"/>
      <c r="TII136" s="17"/>
      <c r="TIJ136" s="17"/>
      <c r="TIK136" s="17"/>
      <c r="TIL136" s="17"/>
      <c r="TIM136" s="17"/>
      <c r="TIN136" s="17"/>
      <c r="TIO136" s="17"/>
      <c r="TIP136" s="17"/>
      <c r="TIQ136" s="17"/>
      <c r="TIR136" s="17"/>
      <c r="TIS136" s="17"/>
      <c r="TIT136" s="17"/>
      <c r="TIU136" s="17"/>
      <c r="TIV136" s="17"/>
      <c r="TIW136" s="17"/>
      <c r="TIX136" s="17"/>
      <c r="TIY136" s="17"/>
      <c r="TIZ136" s="17"/>
      <c r="TJA136" s="17"/>
      <c r="TJB136" s="17"/>
      <c r="TJC136" s="17"/>
      <c r="TJD136" s="17"/>
      <c r="TJE136" s="17"/>
      <c r="TJF136" s="17"/>
      <c r="TJG136" s="17"/>
      <c r="TJH136" s="17"/>
      <c r="TJI136" s="17"/>
      <c r="TJJ136" s="17"/>
      <c r="TJK136" s="17"/>
      <c r="TJL136" s="17"/>
      <c r="TJM136" s="17"/>
      <c r="TJN136" s="17"/>
      <c r="TJO136" s="17"/>
      <c r="TJP136" s="17"/>
      <c r="TJQ136" s="17"/>
      <c r="TJR136" s="17"/>
      <c r="TJS136" s="17"/>
      <c r="TJT136" s="17"/>
      <c r="TJU136" s="17"/>
      <c r="TJV136" s="17"/>
      <c r="TJW136" s="17"/>
      <c r="TJX136" s="17"/>
      <c r="TJY136" s="17"/>
      <c r="TJZ136" s="17"/>
      <c r="TKA136" s="17"/>
      <c r="TKB136" s="17"/>
      <c r="TKC136" s="17"/>
      <c r="TKD136" s="17"/>
      <c r="TKE136" s="17"/>
      <c r="TKF136" s="17"/>
      <c r="TKG136" s="17"/>
      <c r="TKH136" s="17"/>
      <c r="TKI136" s="17"/>
      <c r="TKJ136" s="17"/>
      <c r="TKK136" s="17"/>
      <c r="TKL136" s="17"/>
      <c r="TKM136" s="17"/>
      <c r="TKN136" s="17"/>
      <c r="TKO136" s="17"/>
      <c r="TKP136" s="17"/>
      <c r="TKQ136" s="17"/>
      <c r="TKR136" s="17"/>
      <c r="TKS136" s="17"/>
      <c r="TKT136" s="17"/>
      <c r="TKU136" s="17"/>
      <c r="TKV136" s="17"/>
      <c r="TKW136" s="17"/>
      <c r="TKX136" s="17"/>
      <c r="TKY136" s="17"/>
      <c r="TKZ136" s="17"/>
      <c r="TLA136" s="17"/>
      <c r="TLB136" s="17"/>
      <c r="TLC136" s="17"/>
      <c r="TLD136" s="17"/>
      <c r="TLE136" s="17"/>
      <c r="TLF136" s="17"/>
      <c r="TLG136" s="17"/>
      <c r="TLH136" s="17"/>
      <c r="TLI136" s="17"/>
      <c r="TLJ136" s="17"/>
      <c r="TLK136" s="17"/>
      <c r="TLL136" s="17"/>
      <c r="TLM136" s="17"/>
      <c r="TLN136" s="17"/>
      <c r="TLO136" s="17"/>
      <c r="TLP136" s="17"/>
      <c r="TLQ136" s="17"/>
      <c r="TLR136" s="17"/>
      <c r="TLS136" s="17"/>
      <c r="TLT136" s="17"/>
      <c r="TLU136" s="17"/>
      <c r="TLV136" s="17"/>
      <c r="TLW136" s="17"/>
      <c r="TLX136" s="17"/>
      <c r="TLY136" s="17"/>
      <c r="TLZ136" s="17"/>
      <c r="TMA136" s="17"/>
      <c r="TMB136" s="17"/>
      <c r="TMC136" s="17"/>
      <c r="TMD136" s="17"/>
      <c r="TME136" s="17"/>
      <c r="TMF136" s="17"/>
      <c r="TMG136" s="17"/>
      <c r="TMH136" s="17"/>
      <c r="TMI136" s="17"/>
      <c r="TMJ136" s="17"/>
      <c r="TMK136" s="17"/>
      <c r="TML136" s="17"/>
      <c r="TMM136" s="17"/>
      <c r="TMN136" s="17"/>
      <c r="TMO136" s="17"/>
      <c r="TMP136" s="17"/>
      <c r="TMQ136" s="17"/>
      <c r="TMR136" s="17"/>
      <c r="TMS136" s="17"/>
      <c r="TMT136" s="17"/>
      <c r="TMU136" s="17"/>
      <c r="TMV136" s="17"/>
      <c r="TMW136" s="17"/>
      <c r="TMX136" s="17"/>
      <c r="TMY136" s="17"/>
      <c r="TMZ136" s="17"/>
      <c r="TNA136" s="17"/>
      <c r="TNB136" s="17"/>
      <c r="TNC136" s="17"/>
      <c r="TND136" s="17"/>
      <c r="TNE136" s="17"/>
      <c r="TNF136" s="17"/>
      <c r="TNG136" s="17"/>
      <c r="TNH136" s="17"/>
      <c r="TNI136" s="17"/>
      <c r="TNJ136" s="17"/>
      <c r="TNK136" s="17"/>
      <c r="TNL136" s="17"/>
      <c r="TNM136" s="17"/>
      <c r="TNN136" s="17"/>
      <c r="TNO136" s="17"/>
      <c r="TNP136" s="17"/>
      <c r="TNQ136" s="17"/>
      <c r="TNR136" s="17"/>
      <c r="TNS136" s="17"/>
      <c r="TNT136" s="17"/>
      <c r="TNU136" s="17"/>
      <c r="TNV136" s="17"/>
      <c r="TNW136" s="17"/>
      <c r="TNX136" s="17"/>
      <c r="TNY136" s="17"/>
      <c r="TNZ136" s="17"/>
      <c r="TOA136" s="17"/>
      <c r="TOB136" s="17"/>
      <c r="TOC136" s="17"/>
      <c r="TOD136" s="17"/>
      <c r="TOE136" s="17"/>
      <c r="TOF136" s="17"/>
      <c r="TOG136" s="17"/>
      <c r="TOH136" s="17"/>
      <c r="TOI136" s="17"/>
      <c r="TOJ136" s="17"/>
      <c r="TOK136" s="17"/>
      <c r="TOL136" s="17"/>
      <c r="TOM136" s="17"/>
      <c r="TON136" s="17"/>
      <c r="TOO136" s="17"/>
      <c r="TOP136" s="17"/>
      <c r="TOQ136" s="17"/>
      <c r="TOR136" s="17"/>
      <c r="TOS136" s="17"/>
      <c r="TOT136" s="17"/>
      <c r="TOU136" s="17"/>
      <c r="TOV136" s="17"/>
      <c r="TOW136" s="17"/>
      <c r="TOX136" s="17"/>
      <c r="TOY136" s="17"/>
      <c r="TOZ136" s="17"/>
      <c r="TPA136" s="17"/>
      <c r="TPB136" s="17"/>
      <c r="TPC136" s="17"/>
      <c r="TPD136" s="17"/>
      <c r="TPE136" s="17"/>
      <c r="TPF136" s="17"/>
      <c r="TPG136" s="17"/>
      <c r="TPH136" s="17"/>
      <c r="TPI136" s="17"/>
      <c r="TPJ136" s="17"/>
      <c r="TPK136" s="17"/>
      <c r="TPL136" s="17"/>
      <c r="TPM136" s="17"/>
      <c r="TPN136" s="17"/>
      <c r="TPO136" s="17"/>
      <c r="TPP136" s="17"/>
      <c r="TPQ136" s="17"/>
      <c r="TPR136" s="17"/>
      <c r="TPS136" s="17"/>
      <c r="TPT136" s="17"/>
      <c r="TPU136" s="17"/>
      <c r="TPV136" s="17"/>
      <c r="TPW136" s="17"/>
      <c r="TPX136" s="17"/>
      <c r="TPY136" s="17"/>
      <c r="TPZ136" s="17"/>
      <c r="TQA136" s="17"/>
      <c r="TQB136" s="17"/>
      <c r="TQC136" s="17"/>
      <c r="TQD136" s="17"/>
      <c r="TQE136" s="17"/>
      <c r="TQF136" s="17"/>
      <c r="TQG136" s="17"/>
      <c r="TQH136" s="17"/>
      <c r="TQI136" s="17"/>
      <c r="TQJ136" s="17"/>
      <c r="TQK136" s="17"/>
      <c r="TQL136" s="17"/>
      <c r="TQM136" s="17"/>
      <c r="TQN136" s="17"/>
      <c r="TQO136" s="17"/>
      <c r="TQP136" s="17"/>
      <c r="TQQ136" s="17"/>
      <c r="TQR136" s="17"/>
      <c r="TQS136" s="17"/>
      <c r="TQT136" s="17"/>
      <c r="TQU136" s="17"/>
      <c r="TQV136" s="17"/>
      <c r="TQW136" s="17"/>
      <c r="TQX136" s="17"/>
      <c r="TQY136" s="17"/>
      <c r="TQZ136" s="17"/>
      <c r="TRA136" s="17"/>
      <c r="TRB136" s="17"/>
      <c r="TRC136" s="17"/>
      <c r="TRD136" s="17"/>
      <c r="TRE136" s="17"/>
      <c r="TRF136" s="17"/>
      <c r="TRG136" s="17"/>
      <c r="TRH136" s="17"/>
      <c r="TRI136" s="17"/>
      <c r="TRJ136" s="17"/>
      <c r="TRK136" s="17"/>
      <c r="TRL136" s="17"/>
      <c r="TRM136" s="17"/>
      <c r="TRN136" s="17"/>
      <c r="TRO136" s="17"/>
      <c r="TRP136" s="17"/>
      <c r="TRQ136" s="17"/>
      <c r="TRR136" s="17"/>
      <c r="TRS136" s="17"/>
      <c r="TRT136" s="17"/>
      <c r="TRU136" s="17"/>
      <c r="TRV136" s="17"/>
      <c r="TRW136" s="17"/>
      <c r="TRX136" s="17"/>
      <c r="TRY136" s="17"/>
      <c r="TRZ136" s="17"/>
      <c r="TSA136" s="17"/>
      <c r="TSB136" s="17"/>
      <c r="TSC136" s="17"/>
      <c r="TSD136" s="17"/>
      <c r="TSE136" s="17"/>
      <c r="TSF136" s="17"/>
      <c r="TSG136" s="17"/>
      <c r="TSH136" s="17"/>
      <c r="TSI136" s="17"/>
      <c r="TSJ136" s="17"/>
      <c r="TSK136" s="17"/>
      <c r="TSL136" s="17"/>
      <c r="TSM136" s="17"/>
      <c r="TSN136" s="17"/>
      <c r="TSO136" s="17"/>
      <c r="TSP136" s="17"/>
      <c r="TSQ136" s="17"/>
      <c r="TSR136" s="17"/>
      <c r="TSS136" s="17"/>
      <c r="TST136" s="17"/>
      <c r="TSU136" s="17"/>
      <c r="TSV136" s="17"/>
      <c r="TSW136" s="17"/>
      <c r="TSX136" s="17"/>
      <c r="TSY136" s="17"/>
      <c r="TSZ136" s="17"/>
      <c r="TTA136" s="17"/>
      <c r="TTB136" s="17"/>
      <c r="TTC136" s="17"/>
      <c r="TTD136" s="17"/>
      <c r="TTE136" s="17"/>
      <c r="TTF136" s="17"/>
      <c r="TTG136" s="17"/>
      <c r="TTH136" s="17"/>
      <c r="TTI136" s="17"/>
      <c r="TTJ136" s="17"/>
      <c r="TTK136" s="17"/>
      <c r="TTL136" s="17"/>
      <c r="TTM136" s="17"/>
      <c r="TTN136" s="17"/>
      <c r="TTO136" s="17"/>
      <c r="TTP136" s="17"/>
      <c r="TTQ136" s="17"/>
      <c r="TTR136" s="17"/>
      <c r="TTS136" s="17"/>
      <c r="TTT136" s="17"/>
      <c r="TTU136" s="17"/>
      <c r="TTV136" s="17"/>
      <c r="TTW136" s="17"/>
      <c r="TTX136" s="17"/>
      <c r="TTY136" s="17"/>
      <c r="TTZ136" s="17"/>
      <c r="TUA136" s="17"/>
      <c r="TUB136" s="17"/>
      <c r="TUC136" s="17"/>
      <c r="TUD136" s="17"/>
      <c r="TUE136" s="17"/>
      <c r="TUF136" s="17"/>
      <c r="TUG136" s="17"/>
      <c r="TUH136" s="17"/>
      <c r="TUI136" s="17"/>
      <c r="TUJ136" s="17"/>
      <c r="TUK136" s="17"/>
      <c r="TUL136" s="17"/>
      <c r="TUM136" s="17"/>
      <c r="TUN136" s="17"/>
      <c r="TUO136" s="17"/>
      <c r="TUP136" s="17"/>
      <c r="TUQ136" s="17"/>
      <c r="TUR136" s="17"/>
      <c r="TUS136" s="17"/>
      <c r="TUT136" s="17"/>
      <c r="TUU136" s="17"/>
      <c r="TUV136" s="17"/>
      <c r="TUW136" s="17"/>
      <c r="TUX136" s="17"/>
      <c r="TUY136" s="17"/>
      <c r="TUZ136" s="17"/>
      <c r="TVA136" s="17"/>
      <c r="TVB136" s="17"/>
      <c r="TVC136" s="17"/>
      <c r="TVD136" s="17"/>
      <c r="TVE136" s="17"/>
      <c r="TVF136" s="17"/>
      <c r="TVG136" s="17"/>
      <c r="TVH136" s="17"/>
      <c r="TVI136" s="17"/>
      <c r="TVJ136" s="17"/>
      <c r="TVK136" s="17"/>
      <c r="TVL136" s="17"/>
      <c r="TVM136" s="17"/>
      <c r="TVN136" s="17"/>
      <c r="TVO136" s="17"/>
      <c r="TVP136" s="17"/>
      <c r="TVQ136" s="17"/>
      <c r="TVR136" s="17"/>
      <c r="TVS136" s="17"/>
      <c r="TVT136" s="17"/>
      <c r="TVU136" s="17"/>
      <c r="TVV136" s="17"/>
      <c r="TVW136" s="17"/>
      <c r="TVX136" s="17"/>
      <c r="TVY136" s="17"/>
      <c r="TVZ136" s="17"/>
      <c r="TWA136" s="17"/>
      <c r="TWB136" s="17"/>
      <c r="TWC136" s="17"/>
      <c r="TWD136" s="17"/>
      <c r="TWE136" s="17"/>
      <c r="TWF136" s="17"/>
      <c r="TWG136" s="17"/>
      <c r="TWH136" s="17"/>
      <c r="TWI136" s="17"/>
      <c r="TWJ136" s="17"/>
      <c r="TWK136" s="17"/>
      <c r="TWL136" s="17"/>
      <c r="TWM136" s="17"/>
      <c r="TWN136" s="17"/>
      <c r="TWO136" s="17"/>
      <c r="TWP136" s="17"/>
      <c r="TWQ136" s="17"/>
      <c r="TWR136" s="17"/>
      <c r="TWS136" s="17"/>
      <c r="TWT136" s="17"/>
      <c r="TWU136" s="17"/>
      <c r="TWV136" s="17"/>
      <c r="TWW136" s="17"/>
      <c r="TWX136" s="17"/>
      <c r="TWY136" s="17"/>
      <c r="TWZ136" s="17"/>
      <c r="TXA136" s="17"/>
      <c r="TXB136" s="17"/>
      <c r="TXC136" s="17"/>
      <c r="TXD136" s="17"/>
      <c r="TXE136" s="17"/>
      <c r="TXF136" s="17"/>
      <c r="TXG136" s="17"/>
      <c r="TXH136" s="17"/>
      <c r="TXI136" s="17"/>
      <c r="TXJ136" s="17"/>
      <c r="TXK136" s="17"/>
      <c r="TXL136" s="17"/>
      <c r="TXM136" s="17"/>
      <c r="TXN136" s="17"/>
      <c r="TXO136" s="17"/>
      <c r="TXP136" s="17"/>
      <c r="TXQ136" s="17"/>
      <c r="TXR136" s="17"/>
      <c r="TXS136" s="17"/>
      <c r="TXT136" s="17"/>
      <c r="TXU136" s="17"/>
      <c r="TXV136" s="17"/>
      <c r="TXW136" s="17"/>
      <c r="TXX136" s="17"/>
      <c r="TXY136" s="17"/>
      <c r="TXZ136" s="17"/>
      <c r="TYA136" s="17"/>
      <c r="TYB136" s="17"/>
      <c r="TYC136" s="17"/>
      <c r="TYD136" s="17"/>
      <c r="TYE136" s="17"/>
      <c r="TYF136" s="17"/>
      <c r="TYG136" s="17"/>
      <c r="TYH136" s="17"/>
      <c r="TYI136" s="17"/>
      <c r="TYJ136" s="17"/>
      <c r="TYK136" s="17"/>
      <c r="TYL136" s="17"/>
      <c r="TYM136" s="17"/>
      <c r="TYN136" s="17"/>
      <c r="TYO136" s="17"/>
      <c r="TYP136" s="17"/>
      <c r="TYQ136" s="17"/>
      <c r="TYR136" s="17"/>
      <c r="TYS136" s="17"/>
      <c r="TYT136" s="17"/>
      <c r="TYU136" s="17"/>
      <c r="TYV136" s="17"/>
      <c r="TYW136" s="17"/>
      <c r="TYX136" s="17"/>
      <c r="TYY136" s="17"/>
      <c r="TYZ136" s="17"/>
      <c r="TZA136" s="17"/>
      <c r="TZB136" s="17"/>
      <c r="TZC136" s="17"/>
      <c r="TZD136" s="17"/>
      <c r="TZE136" s="17"/>
      <c r="TZF136" s="17"/>
      <c r="TZG136" s="17"/>
      <c r="TZH136" s="17"/>
      <c r="TZI136" s="17"/>
      <c r="TZJ136" s="17"/>
      <c r="TZK136" s="17"/>
      <c r="TZL136" s="17"/>
      <c r="TZM136" s="17"/>
      <c r="TZN136" s="17"/>
      <c r="TZO136" s="17"/>
      <c r="TZP136" s="17"/>
      <c r="TZQ136" s="17"/>
      <c r="TZR136" s="17"/>
      <c r="TZS136" s="17"/>
      <c r="TZT136" s="17"/>
      <c r="TZU136" s="17"/>
      <c r="TZV136" s="17"/>
      <c r="TZW136" s="17"/>
      <c r="TZX136" s="17"/>
      <c r="TZY136" s="17"/>
      <c r="TZZ136" s="17"/>
      <c r="UAA136" s="17"/>
      <c r="UAB136" s="17"/>
      <c r="UAC136" s="17"/>
      <c r="UAD136" s="17"/>
      <c r="UAE136" s="17"/>
      <c r="UAF136" s="17"/>
      <c r="UAG136" s="17"/>
      <c r="UAH136" s="17"/>
      <c r="UAI136" s="17"/>
      <c r="UAJ136" s="17"/>
      <c r="UAK136" s="17"/>
      <c r="UAL136" s="17"/>
      <c r="UAM136" s="17"/>
      <c r="UAN136" s="17"/>
      <c r="UAO136" s="17"/>
      <c r="UAP136" s="17"/>
      <c r="UAQ136" s="17"/>
      <c r="UAR136" s="17"/>
      <c r="UAS136" s="17"/>
      <c r="UAT136" s="17"/>
      <c r="UAU136" s="17"/>
      <c r="UAV136" s="17"/>
      <c r="UAW136" s="17"/>
      <c r="UAX136" s="17"/>
      <c r="UAY136" s="17"/>
      <c r="UAZ136" s="17"/>
      <c r="UBA136" s="17"/>
      <c r="UBB136" s="17"/>
      <c r="UBC136" s="17"/>
      <c r="UBD136" s="17"/>
      <c r="UBE136" s="17"/>
      <c r="UBF136" s="17"/>
      <c r="UBG136" s="17"/>
      <c r="UBH136" s="17"/>
      <c r="UBI136" s="17"/>
      <c r="UBJ136" s="17"/>
      <c r="UBK136" s="17"/>
      <c r="UBL136" s="17"/>
      <c r="UBM136" s="17"/>
      <c r="UBN136" s="17"/>
      <c r="UBO136" s="17"/>
      <c r="UBP136" s="17"/>
      <c r="UBQ136" s="17"/>
      <c r="UBR136" s="17"/>
      <c r="UBS136" s="17"/>
      <c r="UBT136" s="17"/>
      <c r="UBU136" s="17"/>
      <c r="UBV136" s="17"/>
      <c r="UBW136" s="17"/>
      <c r="UBX136" s="17"/>
      <c r="UBY136" s="17"/>
      <c r="UBZ136" s="17"/>
      <c r="UCA136" s="17"/>
      <c r="UCB136" s="17"/>
      <c r="UCC136" s="17"/>
      <c r="UCD136" s="17"/>
      <c r="UCE136" s="17"/>
      <c r="UCF136" s="17"/>
      <c r="UCG136" s="17"/>
      <c r="UCH136" s="17"/>
      <c r="UCI136" s="17"/>
      <c r="UCJ136" s="17"/>
      <c r="UCK136" s="17"/>
      <c r="UCL136" s="17"/>
      <c r="UCM136" s="17"/>
      <c r="UCN136" s="17"/>
      <c r="UCO136" s="17"/>
      <c r="UCP136" s="17"/>
      <c r="UCQ136" s="17"/>
      <c r="UCR136" s="17"/>
      <c r="UCS136" s="17"/>
      <c r="UCT136" s="17"/>
      <c r="UCU136" s="17"/>
      <c r="UCV136" s="17"/>
      <c r="UCW136" s="17"/>
      <c r="UCX136" s="17"/>
      <c r="UCY136" s="17"/>
      <c r="UCZ136" s="17"/>
      <c r="UDA136" s="17"/>
      <c r="UDB136" s="17"/>
      <c r="UDC136" s="17"/>
      <c r="UDD136" s="17"/>
      <c r="UDE136" s="17"/>
      <c r="UDF136" s="17"/>
      <c r="UDG136" s="17"/>
      <c r="UDH136" s="17"/>
      <c r="UDI136" s="17"/>
      <c r="UDJ136" s="17"/>
      <c r="UDK136" s="17"/>
      <c r="UDL136" s="17"/>
      <c r="UDM136" s="17"/>
      <c r="UDN136" s="17"/>
      <c r="UDO136" s="17"/>
      <c r="UDP136" s="17"/>
      <c r="UDQ136" s="17"/>
      <c r="UDR136" s="17"/>
      <c r="UDS136" s="17"/>
      <c r="UDT136" s="17"/>
      <c r="UDU136" s="17"/>
      <c r="UDV136" s="17"/>
      <c r="UDW136" s="17"/>
      <c r="UDX136" s="17"/>
      <c r="UDY136" s="17"/>
      <c r="UDZ136" s="17"/>
      <c r="UEA136" s="17"/>
      <c r="UEB136" s="17"/>
      <c r="UEC136" s="17"/>
      <c r="UED136" s="17"/>
      <c r="UEE136" s="17"/>
      <c r="UEF136" s="17"/>
      <c r="UEG136" s="17"/>
      <c r="UEH136" s="17"/>
      <c r="UEI136" s="17"/>
      <c r="UEJ136" s="17"/>
      <c r="UEK136" s="17"/>
      <c r="UEL136" s="17"/>
      <c r="UEM136" s="17"/>
      <c r="UEN136" s="17"/>
      <c r="UEO136" s="17"/>
      <c r="UEP136" s="17"/>
      <c r="UEQ136" s="17"/>
      <c r="UER136" s="17"/>
      <c r="UES136" s="17"/>
      <c r="UET136" s="17"/>
      <c r="UEU136" s="17"/>
      <c r="UEV136" s="17"/>
      <c r="UEW136" s="17"/>
      <c r="UEX136" s="17"/>
      <c r="UEY136" s="17"/>
      <c r="UEZ136" s="17"/>
      <c r="UFA136" s="17"/>
      <c r="UFB136" s="17"/>
      <c r="UFC136" s="17"/>
      <c r="UFD136" s="17"/>
      <c r="UFE136" s="17"/>
      <c r="UFF136" s="17"/>
      <c r="UFG136" s="17"/>
      <c r="UFH136" s="17"/>
      <c r="UFI136" s="17"/>
      <c r="UFJ136" s="17"/>
      <c r="UFK136" s="17"/>
      <c r="UFL136" s="17"/>
      <c r="UFM136" s="17"/>
      <c r="UFN136" s="17"/>
      <c r="UFO136" s="17"/>
      <c r="UFP136" s="17"/>
      <c r="UFQ136" s="17"/>
      <c r="UFR136" s="17"/>
      <c r="UFS136" s="17"/>
      <c r="UFT136" s="17"/>
      <c r="UFU136" s="17"/>
      <c r="UFV136" s="17"/>
      <c r="UFW136" s="17"/>
      <c r="UFX136" s="17"/>
      <c r="UFY136" s="17"/>
      <c r="UFZ136" s="17"/>
      <c r="UGA136" s="17"/>
      <c r="UGB136" s="17"/>
      <c r="UGC136" s="17"/>
      <c r="UGD136" s="17"/>
      <c r="UGE136" s="17"/>
      <c r="UGF136" s="17"/>
      <c r="UGG136" s="17"/>
      <c r="UGH136" s="17"/>
      <c r="UGI136" s="17"/>
      <c r="UGJ136" s="17"/>
      <c r="UGK136" s="17"/>
      <c r="UGL136" s="17"/>
      <c r="UGM136" s="17"/>
      <c r="UGN136" s="17"/>
      <c r="UGO136" s="17"/>
      <c r="UGP136" s="17"/>
      <c r="UGQ136" s="17"/>
      <c r="UGR136" s="17"/>
      <c r="UGS136" s="17"/>
      <c r="UGT136" s="17"/>
      <c r="UGU136" s="17"/>
      <c r="UGV136" s="17"/>
      <c r="UGW136" s="17"/>
      <c r="UGX136" s="17"/>
      <c r="UGY136" s="17"/>
      <c r="UGZ136" s="17"/>
      <c r="UHA136" s="17"/>
      <c r="UHB136" s="17"/>
      <c r="UHC136" s="17"/>
      <c r="UHD136" s="17"/>
      <c r="UHE136" s="17"/>
      <c r="UHF136" s="17"/>
      <c r="UHG136" s="17"/>
      <c r="UHH136" s="17"/>
      <c r="UHI136" s="17"/>
      <c r="UHJ136" s="17"/>
      <c r="UHK136" s="17"/>
      <c r="UHL136" s="17"/>
      <c r="UHM136" s="17"/>
      <c r="UHN136" s="17"/>
      <c r="UHO136" s="17"/>
      <c r="UHP136" s="17"/>
      <c r="UHQ136" s="17"/>
      <c r="UHR136" s="17"/>
      <c r="UHS136" s="17"/>
      <c r="UHT136" s="17"/>
      <c r="UHU136" s="17"/>
      <c r="UHV136" s="17"/>
      <c r="UHW136" s="17"/>
      <c r="UHX136" s="17"/>
      <c r="UHY136" s="17"/>
      <c r="UHZ136" s="17"/>
      <c r="UIA136" s="17"/>
      <c r="UIB136" s="17"/>
      <c r="UIC136" s="17"/>
      <c r="UID136" s="17"/>
      <c r="UIE136" s="17"/>
      <c r="UIF136" s="17"/>
      <c r="UIG136" s="17"/>
      <c r="UIH136" s="17"/>
      <c r="UII136" s="17"/>
      <c r="UIJ136" s="17"/>
      <c r="UIK136" s="17"/>
      <c r="UIL136" s="17"/>
      <c r="UIM136" s="17"/>
      <c r="UIN136" s="17"/>
      <c r="UIO136" s="17"/>
      <c r="UIP136" s="17"/>
      <c r="UIQ136" s="17"/>
      <c r="UIR136" s="17"/>
      <c r="UIS136" s="17"/>
      <c r="UIT136" s="17"/>
      <c r="UIU136" s="17"/>
      <c r="UIV136" s="17"/>
      <c r="UIW136" s="17"/>
      <c r="UIX136" s="17"/>
      <c r="UIY136" s="17"/>
      <c r="UIZ136" s="17"/>
      <c r="UJA136" s="17"/>
      <c r="UJB136" s="17"/>
      <c r="UJC136" s="17"/>
      <c r="UJD136" s="17"/>
      <c r="UJE136" s="17"/>
      <c r="UJF136" s="17"/>
      <c r="UJG136" s="17"/>
      <c r="UJH136" s="17"/>
      <c r="UJI136" s="17"/>
      <c r="UJJ136" s="17"/>
      <c r="UJK136" s="17"/>
      <c r="UJL136" s="17"/>
      <c r="UJM136" s="17"/>
      <c r="UJN136" s="17"/>
      <c r="UJO136" s="17"/>
      <c r="UJP136" s="17"/>
      <c r="UJQ136" s="17"/>
      <c r="UJR136" s="17"/>
      <c r="UJS136" s="17"/>
      <c r="UJT136" s="17"/>
      <c r="UJU136" s="17"/>
      <c r="UJV136" s="17"/>
      <c r="UJW136" s="17"/>
      <c r="UJX136" s="17"/>
      <c r="UJY136" s="17"/>
      <c r="UJZ136" s="17"/>
      <c r="UKA136" s="17"/>
      <c r="UKB136" s="17"/>
      <c r="UKC136" s="17"/>
      <c r="UKD136" s="17"/>
      <c r="UKE136" s="17"/>
      <c r="UKF136" s="17"/>
      <c r="UKG136" s="17"/>
      <c r="UKH136" s="17"/>
      <c r="UKI136" s="17"/>
      <c r="UKJ136" s="17"/>
      <c r="UKK136" s="17"/>
      <c r="UKL136" s="17"/>
      <c r="UKM136" s="17"/>
      <c r="UKN136" s="17"/>
      <c r="UKO136" s="17"/>
      <c r="UKP136" s="17"/>
      <c r="UKQ136" s="17"/>
      <c r="UKR136" s="17"/>
      <c r="UKS136" s="17"/>
      <c r="UKT136" s="17"/>
      <c r="UKU136" s="17"/>
      <c r="UKV136" s="17"/>
      <c r="UKW136" s="17"/>
      <c r="UKX136" s="17"/>
      <c r="UKY136" s="17"/>
      <c r="UKZ136" s="17"/>
      <c r="ULA136" s="17"/>
      <c r="ULB136" s="17"/>
      <c r="ULC136" s="17"/>
      <c r="ULD136" s="17"/>
      <c r="ULE136" s="17"/>
      <c r="ULF136" s="17"/>
      <c r="ULG136" s="17"/>
      <c r="ULH136" s="17"/>
      <c r="ULI136" s="17"/>
      <c r="ULJ136" s="17"/>
      <c r="ULK136" s="17"/>
      <c r="ULL136" s="17"/>
      <c r="ULM136" s="17"/>
      <c r="ULN136" s="17"/>
      <c r="ULO136" s="17"/>
      <c r="ULP136" s="17"/>
      <c r="ULQ136" s="17"/>
      <c r="ULR136" s="17"/>
      <c r="ULS136" s="17"/>
      <c r="ULT136" s="17"/>
      <c r="ULU136" s="17"/>
      <c r="ULV136" s="17"/>
      <c r="ULW136" s="17"/>
      <c r="ULX136" s="17"/>
      <c r="ULY136" s="17"/>
      <c r="ULZ136" s="17"/>
      <c r="UMA136" s="17"/>
      <c r="UMB136" s="17"/>
      <c r="UMC136" s="17"/>
      <c r="UMD136" s="17"/>
      <c r="UME136" s="17"/>
      <c r="UMF136" s="17"/>
      <c r="UMG136" s="17"/>
      <c r="UMH136" s="17"/>
      <c r="UMI136" s="17"/>
      <c r="UMJ136" s="17"/>
      <c r="UMK136" s="17"/>
      <c r="UML136" s="17"/>
      <c r="UMM136" s="17"/>
      <c r="UMN136" s="17"/>
      <c r="UMO136" s="17"/>
      <c r="UMP136" s="17"/>
      <c r="UMQ136" s="17"/>
      <c r="UMR136" s="17"/>
      <c r="UMS136" s="17"/>
      <c r="UMT136" s="17"/>
      <c r="UMU136" s="17"/>
      <c r="UMV136" s="17"/>
      <c r="UMW136" s="17"/>
      <c r="UMX136" s="17"/>
      <c r="UMY136" s="17"/>
      <c r="UMZ136" s="17"/>
      <c r="UNA136" s="17"/>
      <c r="UNB136" s="17"/>
      <c r="UNC136" s="17"/>
      <c r="UND136" s="17"/>
      <c r="UNE136" s="17"/>
      <c r="UNF136" s="17"/>
      <c r="UNG136" s="17"/>
      <c r="UNH136" s="17"/>
      <c r="UNI136" s="17"/>
      <c r="UNJ136" s="17"/>
      <c r="UNK136" s="17"/>
      <c r="UNL136" s="17"/>
      <c r="UNM136" s="17"/>
      <c r="UNN136" s="17"/>
      <c r="UNO136" s="17"/>
      <c r="UNP136" s="17"/>
      <c r="UNQ136" s="17"/>
      <c r="UNR136" s="17"/>
      <c r="UNS136" s="17"/>
      <c r="UNT136" s="17"/>
      <c r="UNU136" s="17"/>
      <c r="UNV136" s="17"/>
      <c r="UNW136" s="17"/>
      <c r="UNX136" s="17"/>
      <c r="UNY136" s="17"/>
      <c r="UNZ136" s="17"/>
      <c r="UOA136" s="17"/>
      <c r="UOB136" s="17"/>
      <c r="UOC136" s="17"/>
      <c r="UOD136" s="17"/>
      <c r="UOE136" s="17"/>
      <c r="UOF136" s="17"/>
      <c r="UOG136" s="17"/>
      <c r="UOH136" s="17"/>
      <c r="UOI136" s="17"/>
      <c r="UOJ136" s="17"/>
      <c r="UOK136" s="17"/>
      <c r="UOL136" s="17"/>
      <c r="UOM136" s="17"/>
      <c r="UON136" s="17"/>
      <c r="UOO136" s="17"/>
      <c r="UOP136" s="17"/>
      <c r="UOQ136" s="17"/>
      <c r="UOR136" s="17"/>
      <c r="UOS136" s="17"/>
      <c r="UOT136" s="17"/>
      <c r="UOU136" s="17"/>
      <c r="UOV136" s="17"/>
      <c r="UOW136" s="17"/>
      <c r="UOX136" s="17"/>
      <c r="UOY136" s="17"/>
      <c r="UOZ136" s="17"/>
      <c r="UPA136" s="17"/>
      <c r="UPB136" s="17"/>
      <c r="UPC136" s="17"/>
      <c r="UPD136" s="17"/>
      <c r="UPE136" s="17"/>
      <c r="UPF136" s="17"/>
      <c r="UPG136" s="17"/>
      <c r="UPH136" s="17"/>
      <c r="UPI136" s="17"/>
      <c r="UPJ136" s="17"/>
      <c r="UPK136" s="17"/>
      <c r="UPL136" s="17"/>
      <c r="UPM136" s="17"/>
      <c r="UPN136" s="17"/>
      <c r="UPO136" s="17"/>
      <c r="UPP136" s="17"/>
      <c r="UPQ136" s="17"/>
      <c r="UPR136" s="17"/>
      <c r="UPS136" s="17"/>
      <c r="UPT136" s="17"/>
      <c r="UPU136" s="17"/>
      <c r="UPV136" s="17"/>
      <c r="UPW136" s="17"/>
      <c r="UPX136" s="17"/>
      <c r="UPY136" s="17"/>
      <c r="UPZ136" s="17"/>
      <c r="UQA136" s="17"/>
      <c r="UQB136" s="17"/>
      <c r="UQC136" s="17"/>
      <c r="UQD136" s="17"/>
      <c r="UQE136" s="17"/>
      <c r="UQF136" s="17"/>
      <c r="UQG136" s="17"/>
      <c r="UQH136" s="17"/>
      <c r="UQI136" s="17"/>
      <c r="UQJ136" s="17"/>
      <c r="UQK136" s="17"/>
      <c r="UQL136" s="17"/>
      <c r="UQM136" s="17"/>
      <c r="UQN136" s="17"/>
      <c r="UQO136" s="17"/>
      <c r="UQP136" s="17"/>
      <c r="UQQ136" s="17"/>
      <c r="UQR136" s="17"/>
      <c r="UQS136" s="17"/>
      <c r="UQT136" s="17"/>
      <c r="UQU136" s="17"/>
      <c r="UQV136" s="17"/>
      <c r="UQW136" s="17"/>
      <c r="UQX136" s="17"/>
      <c r="UQY136" s="17"/>
      <c r="UQZ136" s="17"/>
      <c r="URA136" s="17"/>
      <c r="URB136" s="17"/>
      <c r="URC136" s="17"/>
      <c r="URD136" s="17"/>
      <c r="URE136" s="17"/>
      <c r="URF136" s="17"/>
      <c r="URG136" s="17"/>
      <c r="URH136" s="17"/>
      <c r="URI136" s="17"/>
      <c r="URJ136" s="17"/>
      <c r="URK136" s="17"/>
      <c r="URL136" s="17"/>
      <c r="URM136" s="17"/>
      <c r="URN136" s="17"/>
      <c r="URO136" s="17"/>
      <c r="URP136" s="17"/>
      <c r="URQ136" s="17"/>
      <c r="URR136" s="17"/>
      <c r="URS136" s="17"/>
      <c r="URT136" s="17"/>
      <c r="URU136" s="17"/>
      <c r="URV136" s="17"/>
      <c r="URW136" s="17"/>
      <c r="URX136" s="17"/>
      <c r="URY136" s="17"/>
      <c r="URZ136" s="17"/>
      <c r="USA136" s="17"/>
      <c r="USB136" s="17"/>
      <c r="USC136" s="17"/>
      <c r="USD136" s="17"/>
      <c r="USE136" s="17"/>
      <c r="USF136" s="17"/>
      <c r="USG136" s="17"/>
      <c r="USH136" s="17"/>
      <c r="USI136" s="17"/>
      <c r="USJ136" s="17"/>
      <c r="USK136" s="17"/>
      <c r="USL136" s="17"/>
      <c r="USM136" s="17"/>
      <c r="USN136" s="17"/>
      <c r="USO136" s="17"/>
      <c r="USP136" s="17"/>
      <c r="USQ136" s="17"/>
      <c r="USR136" s="17"/>
      <c r="USS136" s="17"/>
      <c r="UST136" s="17"/>
      <c r="USU136" s="17"/>
      <c r="USV136" s="17"/>
      <c r="USW136" s="17"/>
      <c r="USX136" s="17"/>
      <c r="USY136" s="17"/>
      <c r="USZ136" s="17"/>
      <c r="UTA136" s="17"/>
      <c r="UTB136" s="17"/>
      <c r="UTC136" s="17"/>
      <c r="UTD136" s="17"/>
      <c r="UTE136" s="17"/>
      <c r="UTF136" s="17"/>
      <c r="UTG136" s="17"/>
      <c r="UTH136" s="17"/>
      <c r="UTI136" s="17"/>
      <c r="UTJ136" s="17"/>
      <c r="UTK136" s="17"/>
      <c r="UTL136" s="17"/>
      <c r="UTM136" s="17"/>
      <c r="UTN136" s="17"/>
      <c r="UTO136" s="17"/>
      <c r="UTP136" s="17"/>
      <c r="UTQ136" s="17"/>
      <c r="UTR136" s="17"/>
      <c r="UTS136" s="17"/>
      <c r="UTT136" s="17"/>
      <c r="UTU136" s="17"/>
      <c r="UTV136" s="17"/>
      <c r="UTW136" s="17"/>
      <c r="UTX136" s="17"/>
      <c r="UTY136" s="17"/>
      <c r="UTZ136" s="17"/>
      <c r="UUA136" s="17"/>
      <c r="UUB136" s="17"/>
      <c r="UUC136" s="17"/>
      <c r="UUD136" s="17"/>
      <c r="UUE136" s="17"/>
      <c r="UUF136" s="17"/>
      <c r="UUG136" s="17"/>
      <c r="UUH136" s="17"/>
      <c r="UUI136" s="17"/>
      <c r="UUJ136" s="17"/>
      <c r="UUK136" s="17"/>
      <c r="UUL136" s="17"/>
      <c r="UUM136" s="17"/>
      <c r="UUN136" s="17"/>
      <c r="UUO136" s="17"/>
      <c r="UUP136" s="17"/>
      <c r="UUQ136" s="17"/>
      <c r="UUR136" s="17"/>
      <c r="UUS136" s="17"/>
      <c r="UUT136" s="17"/>
      <c r="UUU136" s="17"/>
      <c r="UUV136" s="17"/>
      <c r="UUW136" s="17"/>
      <c r="UUX136" s="17"/>
      <c r="UUY136" s="17"/>
      <c r="UUZ136" s="17"/>
      <c r="UVA136" s="17"/>
      <c r="UVB136" s="17"/>
      <c r="UVC136" s="17"/>
      <c r="UVD136" s="17"/>
      <c r="UVE136" s="17"/>
      <c r="UVF136" s="17"/>
      <c r="UVG136" s="17"/>
      <c r="UVH136" s="17"/>
      <c r="UVI136" s="17"/>
      <c r="UVJ136" s="17"/>
      <c r="UVK136" s="17"/>
      <c r="UVL136" s="17"/>
      <c r="UVM136" s="17"/>
      <c r="UVN136" s="17"/>
      <c r="UVO136" s="17"/>
      <c r="UVP136" s="17"/>
      <c r="UVQ136" s="17"/>
      <c r="UVR136" s="17"/>
      <c r="UVS136" s="17"/>
      <c r="UVT136" s="17"/>
      <c r="UVU136" s="17"/>
      <c r="UVV136" s="17"/>
      <c r="UVW136" s="17"/>
      <c r="UVX136" s="17"/>
      <c r="UVY136" s="17"/>
      <c r="UVZ136" s="17"/>
      <c r="UWA136" s="17"/>
      <c r="UWB136" s="17"/>
      <c r="UWC136" s="17"/>
      <c r="UWD136" s="17"/>
      <c r="UWE136" s="17"/>
      <c r="UWF136" s="17"/>
      <c r="UWG136" s="17"/>
      <c r="UWH136" s="17"/>
      <c r="UWI136" s="17"/>
      <c r="UWJ136" s="17"/>
      <c r="UWK136" s="17"/>
      <c r="UWL136" s="17"/>
      <c r="UWM136" s="17"/>
      <c r="UWN136" s="17"/>
      <c r="UWO136" s="17"/>
      <c r="UWP136" s="17"/>
      <c r="UWQ136" s="17"/>
      <c r="UWR136" s="17"/>
      <c r="UWS136" s="17"/>
      <c r="UWT136" s="17"/>
      <c r="UWU136" s="17"/>
      <c r="UWV136" s="17"/>
      <c r="UWW136" s="17"/>
      <c r="UWX136" s="17"/>
      <c r="UWY136" s="17"/>
      <c r="UWZ136" s="17"/>
      <c r="UXA136" s="17"/>
      <c r="UXB136" s="17"/>
      <c r="UXC136" s="17"/>
      <c r="UXD136" s="17"/>
      <c r="UXE136" s="17"/>
      <c r="UXF136" s="17"/>
      <c r="UXG136" s="17"/>
      <c r="UXH136" s="17"/>
      <c r="UXI136" s="17"/>
      <c r="UXJ136" s="17"/>
      <c r="UXK136" s="17"/>
      <c r="UXL136" s="17"/>
      <c r="UXM136" s="17"/>
      <c r="UXN136" s="17"/>
      <c r="UXO136" s="17"/>
      <c r="UXP136" s="17"/>
      <c r="UXQ136" s="17"/>
      <c r="UXR136" s="17"/>
      <c r="UXS136" s="17"/>
      <c r="UXT136" s="17"/>
      <c r="UXU136" s="17"/>
      <c r="UXV136" s="17"/>
      <c r="UXW136" s="17"/>
      <c r="UXX136" s="17"/>
      <c r="UXY136" s="17"/>
      <c r="UXZ136" s="17"/>
      <c r="UYA136" s="17"/>
      <c r="UYB136" s="17"/>
      <c r="UYC136" s="17"/>
      <c r="UYD136" s="17"/>
      <c r="UYE136" s="17"/>
      <c r="UYF136" s="17"/>
      <c r="UYG136" s="17"/>
      <c r="UYH136" s="17"/>
      <c r="UYI136" s="17"/>
      <c r="UYJ136" s="17"/>
      <c r="UYK136" s="17"/>
      <c r="UYL136" s="17"/>
      <c r="UYM136" s="17"/>
      <c r="UYN136" s="17"/>
      <c r="UYO136" s="17"/>
      <c r="UYP136" s="17"/>
      <c r="UYQ136" s="17"/>
      <c r="UYR136" s="17"/>
      <c r="UYS136" s="17"/>
      <c r="UYT136" s="17"/>
      <c r="UYU136" s="17"/>
      <c r="UYV136" s="17"/>
      <c r="UYW136" s="17"/>
      <c r="UYX136" s="17"/>
      <c r="UYY136" s="17"/>
      <c r="UYZ136" s="17"/>
      <c r="UZA136" s="17"/>
      <c r="UZB136" s="17"/>
      <c r="UZC136" s="17"/>
      <c r="UZD136" s="17"/>
      <c r="UZE136" s="17"/>
      <c r="UZF136" s="17"/>
      <c r="UZG136" s="17"/>
      <c r="UZH136" s="17"/>
      <c r="UZI136" s="17"/>
      <c r="UZJ136" s="17"/>
      <c r="UZK136" s="17"/>
      <c r="UZL136" s="17"/>
      <c r="UZM136" s="17"/>
      <c r="UZN136" s="17"/>
      <c r="UZO136" s="17"/>
      <c r="UZP136" s="17"/>
      <c r="UZQ136" s="17"/>
      <c r="UZR136" s="17"/>
      <c r="UZS136" s="17"/>
      <c r="UZT136" s="17"/>
      <c r="UZU136" s="17"/>
      <c r="UZV136" s="17"/>
      <c r="UZW136" s="17"/>
      <c r="UZX136" s="17"/>
      <c r="UZY136" s="17"/>
      <c r="UZZ136" s="17"/>
      <c r="VAA136" s="17"/>
      <c r="VAB136" s="17"/>
      <c r="VAC136" s="17"/>
      <c r="VAD136" s="17"/>
      <c r="VAE136" s="17"/>
      <c r="VAF136" s="17"/>
      <c r="VAG136" s="17"/>
      <c r="VAH136" s="17"/>
      <c r="VAI136" s="17"/>
      <c r="VAJ136" s="17"/>
      <c r="VAK136" s="17"/>
      <c r="VAL136" s="17"/>
      <c r="VAM136" s="17"/>
      <c r="VAN136" s="17"/>
      <c r="VAO136" s="17"/>
      <c r="VAP136" s="17"/>
      <c r="VAQ136" s="17"/>
      <c r="VAR136" s="17"/>
      <c r="VAS136" s="17"/>
      <c r="VAT136" s="17"/>
      <c r="VAU136" s="17"/>
      <c r="VAV136" s="17"/>
      <c r="VAW136" s="17"/>
      <c r="VAX136" s="17"/>
      <c r="VAY136" s="17"/>
      <c r="VAZ136" s="17"/>
      <c r="VBA136" s="17"/>
      <c r="VBB136" s="17"/>
      <c r="VBC136" s="17"/>
      <c r="VBD136" s="17"/>
      <c r="VBE136" s="17"/>
      <c r="VBF136" s="17"/>
      <c r="VBG136" s="17"/>
      <c r="VBH136" s="17"/>
      <c r="VBI136" s="17"/>
      <c r="VBJ136" s="17"/>
      <c r="VBK136" s="17"/>
      <c r="VBL136" s="17"/>
      <c r="VBM136" s="17"/>
      <c r="VBN136" s="17"/>
      <c r="VBO136" s="17"/>
      <c r="VBP136" s="17"/>
      <c r="VBQ136" s="17"/>
      <c r="VBR136" s="17"/>
      <c r="VBS136" s="17"/>
      <c r="VBT136" s="17"/>
      <c r="VBU136" s="17"/>
      <c r="VBV136" s="17"/>
      <c r="VBW136" s="17"/>
      <c r="VBX136" s="17"/>
      <c r="VBY136" s="17"/>
      <c r="VBZ136" s="17"/>
      <c r="VCA136" s="17"/>
      <c r="VCB136" s="17"/>
      <c r="VCC136" s="17"/>
      <c r="VCD136" s="17"/>
      <c r="VCE136" s="17"/>
      <c r="VCF136" s="17"/>
      <c r="VCG136" s="17"/>
      <c r="VCH136" s="17"/>
      <c r="VCI136" s="17"/>
      <c r="VCJ136" s="17"/>
      <c r="VCK136" s="17"/>
      <c r="VCL136" s="17"/>
      <c r="VCM136" s="17"/>
      <c r="VCN136" s="17"/>
      <c r="VCO136" s="17"/>
      <c r="VCP136" s="17"/>
      <c r="VCQ136" s="17"/>
      <c r="VCR136" s="17"/>
      <c r="VCS136" s="17"/>
      <c r="VCT136" s="17"/>
      <c r="VCU136" s="17"/>
      <c r="VCV136" s="17"/>
      <c r="VCW136" s="17"/>
      <c r="VCX136" s="17"/>
      <c r="VCY136" s="17"/>
      <c r="VCZ136" s="17"/>
      <c r="VDA136" s="17"/>
      <c r="VDB136" s="17"/>
      <c r="VDC136" s="17"/>
      <c r="VDD136" s="17"/>
      <c r="VDE136" s="17"/>
      <c r="VDF136" s="17"/>
      <c r="VDG136" s="17"/>
      <c r="VDH136" s="17"/>
      <c r="VDI136" s="17"/>
      <c r="VDJ136" s="17"/>
      <c r="VDK136" s="17"/>
      <c r="VDL136" s="17"/>
      <c r="VDM136" s="17"/>
      <c r="VDN136" s="17"/>
      <c r="VDO136" s="17"/>
      <c r="VDP136" s="17"/>
      <c r="VDQ136" s="17"/>
      <c r="VDR136" s="17"/>
      <c r="VDS136" s="17"/>
      <c r="VDT136" s="17"/>
      <c r="VDU136" s="17"/>
      <c r="VDV136" s="17"/>
      <c r="VDW136" s="17"/>
      <c r="VDX136" s="17"/>
      <c r="VDY136" s="17"/>
      <c r="VDZ136" s="17"/>
      <c r="VEA136" s="17"/>
      <c r="VEB136" s="17"/>
      <c r="VEC136" s="17"/>
      <c r="VED136" s="17"/>
      <c r="VEE136" s="17"/>
      <c r="VEF136" s="17"/>
      <c r="VEG136" s="17"/>
      <c r="VEH136" s="17"/>
      <c r="VEI136" s="17"/>
      <c r="VEJ136" s="17"/>
      <c r="VEK136" s="17"/>
      <c r="VEL136" s="17"/>
      <c r="VEM136" s="17"/>
      <c r="VEN136" s="17"/>
      <c r="VEO136" s="17"/>
      <c r="VEP136" s="17"/>
      <c r="VEQ136" s="17"/>
      <c r="VER136" s="17"/>
      <c r="VES136" s="17"/>
      <c r="VET136" s="17"/>
      <c r="VEU136" s="17"/>
      <c r="VEV136" s="17"/>
      <c r="VEW136" s="17"/>
      <c r="VEX136" s="17"/>
      <c r="VEY136" s="17"/>
      <c r="VEZ136" s="17"/>
      <c r="VFA136" s="17"/>
      <c r="VFB136" s="17"/>
      <c r="VFC136" s="17"/>
      <c r="VFD136" s="17"/>
      <c r="VFE136" s="17"/>
      <c r="VFF136" s="17"/>
      <c r="VFG136" s="17"/>
      <c r="VFH136" s="17"/>
      <c r="VFI136" s="17"/>
      <c r="VFJ136" s="17"/>
      <c r="VFK136" s="17"/>
      <c r="VFL136" s="17"/>
      <c r="VFM136" s="17"/>
      <c r="VFN136" s="17"/>
      <c r="VFO136" s="17"/>
      <c r="VFP136" s="17"/>
      <c r="VFQ136" s="17"/>
      <c r="VFR136" s="17"/>
      <c r="VFS136" s="17"/>
      <c r="VFT136" s="17"/>
      <c r="VFU136" s="17"/>
      <c r="VFV136" s="17"/>
      <c r="VFW136" s="17"/>
      <c r="VFX136" s="17"/>
      <c r="VFY136" s="17"/>
      <c r="VFZ136" s="17"/>
      <c r="VGA136" s="17"/>
      <c r="VGB136" s="17"/>
      <c r="VGC136" s="17"/>
      <c r="VGD136" s="17"/>
      <c r="VGE136" s="17"/>
      <c r="VGF136" s="17"/>
      <c r="VGG136" s="17"/>
      <c r="VGH136" s="17"/>
      <c r="VGI136" s="17"/>
      <c r="VGJ136" s="17"/>
      <c r="VGK136" s="17"/>
      <c r="VGL136" s="17"/>
      <c r="VGM136" s="17"/>
      <c r="VGN136" s="17"/>
      <c r="VGO136" s="17"/>
      <c r="VGP136" s="17"/>
      <c r="VGQ136" s="17"/>
      <c r="VGR136" s="17"/>
      <c r="VGS136" s="17"/>
      <c r="VGT136" s="17"/>
      <c r="VGU136" s="17"/>
      <c r="VGV136" s="17"/>
      <c r="VGW136" s="17"/>
      <c r="VGX136" s="17"/>
      <c r="VGY136" s="17"/>
      <c r="VGZ136" s="17"/>
      <c r="VHA136" s="17"/>
      <c r="VHB136" s="17"/>
      <c r="VHC136" s="17"/>
      <c r="VHD136" s="17"/>
      <c r="VHE136" s="17"/>
      <c r="VHF136" s="17"/>
      <c r="VHG136" s="17"/>
      <c r="VHH136" s="17"/>
      <c r="VHI136" s="17"/>
      <c r="VHJ136" s="17"/>
      <c r="VHK136" s="17"/>
      <c r="VHL136" s="17"/>
      <c r="VHM136" s="17"/>
      <c r="VHN136" s="17"/>
      <c r="VHO136" s="17"/>
      <c r="VHP136" s="17"/>
      <c r="VHQ136" s="17"/>
      <c r="VHR136" s="17"/>
      <c r="VHS136" s="17"/>
      <c r="VHT136" s="17"/>
      <c r="VHU136" s="17"/>
      <c r="VHV136" s="17"/>
      <c r="VHW136" s="17"/>
      <c r="VHX136" s="17"/>
      <c r="VHY136" s="17"/>
      <c r="VHZ136" s="17"/>
      <c r="VIA136" s="17"/>
      <c r="VIB136" s="17"/>
      <c r="VIC136" s="17"/>
      <c r="VID136" s="17"/>
      <c r="VIE136" s="17"/>
      <c r="VIF136" s="17"/>
      <c r="VIG136" s="17"/>
      <c r="VIH136" s="17"/>
      <c r="VII136" s="17"/>
      <c r="VIJ136" s="17"/>
      <c r="VIK136" s="17"/>
      <c r="VIL136" s="17"/>
      <c r="VIM136" s="17"/>
      <c r="VIN136" s="17"/>
      <c r="VIO136" s="17"/>
      <c r="VIP136" s="17"/>
      <c r="VIQ136" s="17"/>
      <c r="VIR136" s="17"/>
      <c r="VIS136" s="17"/>
      <c r="VIT136" s="17"/>
      <c r="VIU136" s="17"/>
      <c r="VIV136" s="17"/>
      <c r="VIW136" s="17"/>
      <c r="VIX136" s="17"/>
      <c r="VIY136" s="17"/>
      <c r="VIZ136" s="17"/>
      <c r="VJA136" s="17"/>
      <c r="VJB136" s="17"/>
      <c r="VJC136" s="17"/>
      <c r="VJD136" s="17"/>
      <c r="VJE136" s="17"/>
      <c r="VJF136" s="17"/>
      <c r="VJG136" s="17"/>
      <c r="VJH136" s="17"/>
      <c r="VJI136" s="17"/>
      <c r="VJJ136" s="17"/>
      <c r="VJK136" s="17"/>
      <c r="VJL136" s="17"/>
      <c r="VJM136" s="17"/>
      <c r="VJN136" s="17"/>
      <c r="VJO136" s="17"/>
      <c r="VJP136" s="17"/>
      <c r="VJQ136" s="17"/>
      <c r="VJR136" s="17"/>
      <c r="VJS136" s="17"/>
      <c r="VJT136" s="17"/>
      <c r="VJU136" s="17"/>
      <c r="VJV136" s="17"/>
      <c r="VJW136" s="17"/>
      <c r="VJX136" s="17"/>
      <c r="VJY136" s="17"/>
      <c r="VJZ136" s="17"/>
      <c r="VKA136" s="17"/>
      <c r="VKB136" s="17"/>
      <c r="VKC136" s="17"/>
      <c r="VKD136" s="17"/>
      <c r="VKE136" s="17"/>
      <c r="VKF136" s="17"/>
      <c r="VKG136" s="17"/>
      <c r="VKH136" s="17"/>
      <c r="VKI136" s="17"/>
      <c r="VKJ136" s="17"/>
      <c r="VKK136" s="17"/>
      <c r="VKL136" s="17"/>
      <c r="VKM136" s="17"/>
      <c r="VKN136" s="17"/>
      <c r="VKO136" s="17"/>
      <c r="VKP136" s="17"/>
      <c r="VKQ136" s="17"/>
      <c r="VKR136" s="17"/>
      <c r="VKS136" s="17"/>
      <c r="VKT136" s="17"/>
      <c r="VKU136" s="17"/>
      <c r="VKV136" s="17"/>
      <c r="VKW136" s="17"/>
      <c r="VKX136" s="17"/>
      <c r="VKY136" s="17"/>
      <c r="VKZ136" s="17"/>
      <c r="VLA136" s="17"/>
      <c r="VLB136" s="17"/>
      <c r="VLC136" s="17"/>
      <c r="VLD136" s="17"/>
      <c r="VLE136" s="17"/>
      <c r="VLF136" s="17"/>
      <c r="VLG136" s="17"/>
      <c r="VLH136" s="17"/>
      <c r="VLI136" s="17"/>
      <c r="VLJ136" s="17"/>
      <c r="VLK136" s="17"/>
      <c r="VLL136" s="17"/>
      <c r="VLM136" s="17"/>
      <c r="VLN136" s="17"/>
      <c r="VLO136" s="17"/>
      <c r="VLP136" s="17"/>
      <c r="VLQ136" s="17"/>
      <c r="VLR136" s="17"/>
      <c r="VLS136" s="17"/>
      <c r="VLT136" s="17"/>
      <c r="VLU136" s="17"/>
      <c r="VLV136" s="17"/>
      <c r="VLW136" s="17"/>
      <c r="VLX136" s="17"/>
      <c r="VLY136" s="17"/>
      <c r="VLZ136" s="17"/>
      <c r="VMA136" s="17"/>
      <c r="VMB136" s="17"/>
      <c r="VMC136" s="17"/>
      <c r="VMD136" s="17"/>
      <c r="VME136" s="17"/>
      <c r="VMF136" s="17"/>
      <c r="VMG136" s="17"/>
      <c r="VMH136" s="17"/>
      <c r="VMI136" s="17"/>
      <c r="VMJ136" s="17"/>
      <c r="VMK136" s="17"/>
      <c r="VML136" s="17"/>
      <c r="VMM136" s="17"/>
      <c r="VMN136" s="17"/>
      <c r="VMO136" s="17"/>
      <c r="VMP136" s="17"/>
      <c r="VMQ136" s="17"/>
      <c r="VMR136" s="17"/>
      <c r="VMS136" s="17"/>
      <c r="VMT136" s="17"/>
      <c r="VMU136" s="17"/>
      <c r="VMV136" s="17"/>
      <c r="VMW136" s="17"/>
      <c r="VMX136" s="17"/>
      <c r="VMY136" s="17"/>
      <c r="VMZ136" s="17"/>
      <c r="VNA136" s="17"/>
      <c r="VNB136" s="17"/>
      <c r="VNC136" s="17"/>
      <c r="VND136" s="17"/>
      <c r="VNE136" s="17"/>
      <c r="VNF136" s="17"/>
      <c r="VNG136" s="17"/>
      <c r="VNH136" s="17"/>
      <c r="VNI136" s="17"/>
      <c r="VNJ136" s="17"/>
      <c r="VNK136" s="17"/>
      <c r="VNL136" s="17"/>
      <c r="VNM136" s="17"/>
      <c r="VNN136" s="17"/>
      <c r="VNO136" s="17"/>
      <c r="VNP136" s="17"/>
      <c r="VNQ136" s="17"/>
      <c r="VNR136" s="17"/>
      <c r="VNS136" s="17"/>
      <c r="VNT136" s="17"/>
      <c r="VNU136" s="17"/>
      <c r="VNV136" s="17"/>
      <c r="VNW136" s="17"/>
      <c r="VNX136" s="17"/>
      <c r="VNY136" s="17"/>
      <c r="VNZ136" s="17"/>
      <c r="VOA136" s="17"/>
      <c r="VOB136" s="17"/>
      <c r="VOC136" s="17"/>
      <c r="VOD136" s="17"/>
      <c r="VOE136" s="17"/>
      <c r="VOF136" s="17"/>
      <c r="VOG136" s="17"/>
      <c r="VOH136" s="17"/>
      <c r="VOI136" s="17"/>
      <c r="VOJ136" s="17"/>
      <c r="VOK136" s="17"/>
      <c r="VOL136" s="17"/>
      <c r="VOM136" s="17"/>
      <c r="VON136" s="17"/>
      <c r="VOO136" s="17"/>
      <c r="VOP136" s="17"/>
      <c r="VOQ136" s="17"/>
      <c r="VOR136" s="17"/>
      <c r="VOS136" s="17"/>
      <c r="VOT136" s="17"/>
      <c r="VOU136" s="17"/>
      <c r="VOV136" s="17"/>
      <c r="VOW136" s="17"/>
      <c r="VOX136" s="17"/>
      <c r="VOY136" s="17"/>
      <c r="VOZ136" s="17"/>
      <c r="VPA136" s="17"/>
      <c r="VPB136" s="17"/>
      <c r="VPC136" s="17"/>
      <c r="VPD136" s="17"/>
      <c r="VPE136" s="17"/>
      <c r="VPF136" s="17"/>
      <c r="VPG136" s="17"/>
      <c r="VPH136" s="17"/>
      <c r="VPI136" s="17"/>
      <c r="VPJ136" s="17"/>
      <c r="VPK136" s="17"/>
      <c r="VPL136" s="17"/>
      <c r="VPM136" s="17"/>
      <c r="VPN136" s="17"/>
      <c r="VPO136" s="17"/>
      <c r="VPP136" s="17"/>
      <c r="VPQ136" s="17"/>
      <c r="VPR136" s="17"/>
      <c r="VPS136" s="17"/>
      <c r="VPT136" s="17"/>
      <c r="VPU136" s="17"/>
      <c r="VPV136" s="17"/>
      <c r="VPW136" s="17"/>
      <c r="VPX136" s="17"/>
      <c r="VPY136" s="17"/>
      <c r="VPZ136" s="17"/>
      <c r="VQA136" s="17"/>
      <c r="VQB136" s="17"/>
      <c r="VQC136" s="17"/>
      <c r="VQD136" s="17"/>
      <c r="VQE136" s="17"/>
      <c r="VQF136" s="17"/>
      <c r="VQG136" s="17"/>
      <c r="VQH136" s="17"/>
      <c r="VQI136" s="17"/>
      <c r="VQJ136" s="17"/>
      <c r="VQK136" s="17"/>
      <c r="VQL136" s="17"/>
      <c r="VQM136" s="17"/>
      <c r="VQN136" s="17"/>
      <c r="VQO136" s="17"/>
      <c r="VQP136" s="17"/>
      <c r="VQQ136" s="17"/>
      <c r="VQR136" s="17"/>
      <c r="VQS136" s="17"/>
      <c r="VQT136" s="17"/>
      <c r="VQU136" s="17"/>
      <c r="VQV136" s="17"/>
      <c r="VQW136" s="17"/>
      <c r="VQX136" s="17"/>
      <c r="VQY136" s="17"/>
      <c r="VQZ136" s="17"/>
      <c r="VRA136" s="17"/>
      <c r="VRB136" s="17"/>
      <c r="VRC136" s="17"/>
      <c r="VRD136" s="17"/>
      <c r="VRE136" s="17"/>
      <c r="VRF136" s="17"/>
      <c r="VRG136" s="17"/>
      <c r="VRH136" s="17"/>
      <c r="VRI136" s="17"/>
      <c r="VRJ136" s="17"/>
      <c r="VRK136" s="17"/>
      <c r="VRL136" s="17"/>
      <c r="VRM136" s="17"/>
      <c r="VRN136" s="17"/>
      <c r="VRO136" s="17"/>
      <c r="VRP136" s="17"/>
      <c r="VRQ136" s="17"/>
      <c r="VRR136" s="17"/>
      <c r="VRS136" s="17"/>
      <c r="VRT136" s="17"/>
      <c r="VRU136" s="17"/>
      <c r="VRV136" s="17"/>
      <c r="VRW136" s="17"/>
      <c r="VRX136" s="17"/>
      <c r="VRY136" s="17"/>
      <c r="VRZ136" s="17"/>
      <c r="VSA136" s="17"/>
      <c r="VSB136" s="17"/>
      <c r="VSC136" s="17"/>
      <c r="VSD136" s="17"/>
      <c r="VSE136" s="17"/>
      <c r="VSF136" s="17"/>
      <c r="VSG136" s="17"/>
      <c r="VSH136" s="17"/>
      <c r="VSI136" s="17"/>
      <c r="VSJ136" s="17"/>
      <c r="VSK136" s="17"/>
      <c r="VSL136" s="17"/>
      <c r="VSM136" s="17"/>
      <c r="VSN136" s="17"/>
      <c r="VSO136" s="17"/>
      <c r="VSP136" s="17"/>
      <c r="VSQ136" s="17"/>
      <c r="VSR136" s="17"/>
      <c r="VSS136" s="17"/>
      <c r="VST136" s="17"/>
      <c r="VSU136" s="17"/>
      <c r="VSV136" s="17"/>
      <c r="VSW136" s="17"/>
      <c r="VSX136" s="17"/>
      <c r="VSY136" s="17"/>
      <c r="VSZ136" s="17"/>
      <c r="VTA136" s="17"/>
      <c r="VTB136" s="17"/>
      <c r="VTC136" s="17"/>
      <c r="VTD136" s="17"/>
      <c r="VTE136" s="17"/>
      <c r="VTF136" s="17"/>
      <c r="VTG136" s="17"/>
      <c r="VTH136" s="17"/>
      <c r="VTI136" s="17"/>
      <c r="VTJ136" s="17"/>
      <c r="VTK136" s="17"/>
      <c r="VTL136" s="17"/>
      <c r="VTM136" s="17"/>
      <c r="VTN136" s="17"/>
      <c r="VTO136" s="17"/>
      <c r="VTP136" s="17"/>
      <c r="VTQ136" s="17"/>
      <c r="VTR136" s="17"/>
      <c r="VTS136" s="17"/>
      <c r="VTT136" s="17"/>
      <c r="VTU136" s="17"/>
      <c r="VTV136" s="17"/>
      <c r="VTW136" s="17"/>
      <c r="VTX136" s="17"/>
      <c r="VTY136" s="17"/>
      <c r="VTZ136" s="17"/>
      <c r="VUA136" s="17"/>
      <c r="VUB136" s="17"/>
      <c r="VUC136" s="17"/>
      <c r="VUD136" s="17"/>
      <c r="VUE136" s="17"/>
      <c r="VUF136" s="17"/>
      <c r="VUG136" s="17"/>
      <c r="VUH136" s="17"/>
      <c r="VUI136" s="17"/>
      <c r="VUJ136" s="17"/>
      <c r="VUK136" s="17"/>
      <c r="VUL136" s="17"/>
      <c r="VUM136" s="17"/>
      <c r="VUN136" s="17"/>
      <c r="VUO136" s="17"/>
      <c r="VUP136" s="17"/>
      <c r="VUQ136" s="17"/>
      <c r="VUR136" s="17"/>
      <c r="VUS136" s="17"/>
      <c r="VUT136" s="17"/>
      <c r="VUU136" s="17"/>
      <c r="VUV136" s="17"/>
      <c r="VUW136" s="17"/>
      <c r="VUX136" s="17"/>
      <c r="VUY136" s="17"/>
      <c r="VUZ136" s="17"/>
      <c r="VVA136" s="17"/>
      <c r="VVB136" s="17"/>
      <c r="VVC136" s="17"/>
      <c r="VVD136" s="17"/>
      <c r="VVE136" s="17"/>
      <c r="VVF136" s="17"/>
      <c r="VVG136" s="17"/>
      <c r="VVH136" s="17"/>
      <c r="VVI136" s="17"/>
      <c r="VVJ136" s="17"/>
      <c r="VVK136" s="17"/>
      <c r="VVL136" s="17"/>
      <c r="VVM136" s="17"/>
      <c r="VVN136" s="17"/>
      <c r="VVO136" s="17"/>
      <c r="VVP136" s="17"/>
      <c r="VVQ136" s="17"/>
      <c r="VVR136" s="17"/>
      <c r="VVS136" s="17"/>
      <c r="VVT136" s="17"/>
      <c r="VVU136" s="17"/>
      <c r="VVV136" s="17"/>
      <c r="VVW136" s="17"/>
      <c r="VVX136" s="17"/>
      <c r="VVY136" s="17"/>
      <c r="VVZ136" s="17"/>
      <c r="VWA136" s="17"/>
      <c r="VWB136" s="17"/>
      <c r="VWC136" s="17"/>
      <c r="VWD136" s="17"/>
      <c r="VWE136" s="17"/>
      <c r="VWF136" s="17"/>
      <c r="VWG136" s="17"/>
      <c r="VWH136" s="17"/>
      <c r="VWI136" s="17"/>
      <c r="VWJ136" s="17"/>
      <c r="VWK136" s="17"/>
      <c r="VWL136" s="17"/>
      <c r="VWM136" s="17"/>
      <c r="VWN136" s="17"/>
      <c r="VWO136" s="17"/>
      <c r="VWP136" s="17"/>
      <c r="VWQ136" s="17"/>
      <c r="VWR136" s="17"/>
      <c r="VWS136" s="17"/>
      <c r="VWT136" s="17"/>
      <c r="VWU136" s="17"/>
      <c r="VWV136" s="17"/>
      <c r="VWW136" s="17"/>
      <c r="VWX136" s="17"/>
      <c r="VWY136" s="17"/>
      <c r="VWZ136" s="17"/>
      <c r="VXA136" s="17"/>
      <c r="VXB136" s="17"/>
      <c r="VXC136" s="17"/>
      <c r="VXD136" s="17"/>
      <c r="VXE136" s="17"/>
      <c r="VXF136" s="17"/>
      <c r="VXG136" s="17"/>
      <c r="VXH136" s="17"/>
      <c r="VXI136" s="17"/>
      <c r="VXJ136" s="17"/>
      <c r="VXK136" s="17"/>
      <c r="VXL136" s="17"/>
      <c r="VXM136" s="17"/>
      <c r="VXN136" s="17"/>
      <c r="VXO136" s="17"/>
      <c r="VXP136" s="17"/>
      <c r="VXQ136" s="17"/>
      <c r="VXR136" s="17"/>
      <c r="VXS136" s="17"/>
      <c r="VXT136" s="17"/>
      <c r="VXU136" s="17"/>
      <c r="VXV136" s="17"/>
      <c r="VXW136" s="17"/>
      <c r="VXX136" s="17"/>
      <c r="VXY136" s="17"/>
      <c r="VXZ136" s="17"/>
      <c r="VYA136" s="17"/>
      <c r="VYB136" s="17"/>
      <c r="VYC136" s="17"/>
      <c r="VYD136" s="17"/>
      <c r="VYE136" s="17"/>
      <c r="VYF136" s="17"/>
      <c r="VYG136" s="17"/>
      <c r="VYH136" s="17"/>
      <c r="VYI136" s="17"/>
      <c r="VYJ136" s="17"/>
      <c r="VYK136" s="17"/>
      <c r="VYL136" s="17"/>
      <c r="VYM136" s="17"/>
      <c r="VYN136" s="17"/>
      <c r="VYO136" s="17"/>
      <c r="VYP136" s="17"/>
      <c r="VYQ136" s="17"/>
      <c r="VYR136" s="17"/>
      <c r="VYS136" s="17"/>
      <c r="VYT136" s="17"/>
      <c r="VYU136" s="17"/>
      <c r="VYV136" s="17"/>
      <c r="VYW136" s="17"/>
      <c r="VYX136" s="17"/>
      <c r="VYY136" s="17"/>
      <c r="VYZ136" s="17"/>
      <c r="VZA136" s="17"/>
      <c r="VZB136" s="17"/>
      <c r="VZC136" s="17"/>
      <c r="VZD136" s="17"/>
      <c r="VZE136" s="17"/>
      <c r="VZF136" s="17"/>
      <c r="VZG136" s="17"/>
      <c r="VZH136" s="17"/>
      <c r="VZI136" s="17"/>
      <c r="VZJ136" s="17"/>
      <c r="VZK136" s="17"/>
      <c r="VZL136" s="17"/>
      <c r="VZM136" s="17"/>
      <c r="VZN136" s="17"/>
      <c r="VZO136" s="17"/>
      <c r="VZP136" s="17"/>
      <c r="VZQ136" s="17"/>
      <c r="VZR136" s="17"/>
      <c r="VZS136" s="17"/>
      <c r="VZT136" s="17"/>
      <c r="VZU136" s="17"/>
      <c r="VZV136" s="17"/>
      <c r="VZW136" s="17"/>
      <c r="VZX136" s="17"/>
      <c r="VZY136" s="17"/>
      <c r="VZZ136" s="17"/>
      <c r="WAA136" s="17"/>
      <c r="WAB136" s="17"/>
      <c r="WAC136" s="17"/>
      <c r="WAD136" s="17"/>
      <c r="WAE136" s="17"/>
      <c r="WAF136" s="17"/>
      <c r="WAG136" s="17"/>
      <c r="WAH136" s="17"/>
      <c r="WAI136" s="17"/>
      <c r="WAJ136" s="17"/>
      <c r="WAK136" s="17"/>
      <c r="WAL136" s="17"/>
      <c r="WAM136" s="17"/>
      <c r="WAN136" s="17"/>
      <c r="WAO136" s="17"/>
      <c r="WAP136" s="17"/>
      <c r="WAQ136" s="17"/>
      <c r="WAR136" s="17"/>
      <c r="WAS136" s="17"/>
      <c r="WAT136" s="17"/>
      <c r="WAU136" s="17"/>
      <c r="WAV136" s="17"/>
      <c r="WAW136" s="17"/>
      <c r="WAX136" s="17"/>
      <c r="WAY136" s="17"/>
      <c r="WAZ136" s="17"/>
      <c r="WBA136" s="17"/>
      <c r="WBB136" s="17"/>
      <c r="WBC136" s="17"/>
      <c r="WBD136" s="17"/>
      <c r="WBE136" s="17"/>
      <c r="WBF136" s="17"/>
      <c r="WBG136" s="17"/>
      <c r="WBH136" s="17"/>
      <c r="WBI136" s="17"/>
      <c r="WBJ136" s="17"/>
      <c r="WBK136" s="17"/>
      <c r="WBL136" s="17"/>
      <c r="WBM136" s="17"/>
      <c r="WBN136" s="17"/>
      <c r="WBO136" s="17"/>
      <c r="WBP136" s="17"/>
      <c r="WBQ136" s="17"/>
      <c r="WBR136" s="17"/>
      <c r="WBS136" s="17"/>
      <c r="WBT136" s="17"/>
      <c r="WBU136" s="17"/>
      <c r="WBV136" s="17"/>
      <c r="WBW136" s="17"/>
      <c r="WBX136" s="17"/>
      <c r="WBY136" s="17"/>
      <c r="WBZ136" s="17"/>
      <c r="WCA136" s="17"/>
      <c r="WCB136" s="17"/>
      <c r="WCC136" s="17"/>
      <c r="WCD136" s="17"/>
      <c r="WCE136" s="17"/>
      <c r="WCF136" s="17"/>
      <c r="WCG136" s="17"/>
      <c r="WCH136" s="17"/>
      <c r="WCI136" s="17"/>
      <c r="WCJ136" s="17"/>
      <c r="WCK136" s="17"/>
      <c r="WCL136" s="17"/>
      <c r="WCM136" s="17"/>
      <c r="WCN136" s="17"/>
      <c r="WCO136" s="17"/>
      <c r="WCP136" s="17"/>
      <c r="WCQ136" s="17"/>
      <c r="WCR136" s="17"/>
      <c r="WCS136" s="17"/>
      <c r="WCT136" s="17"/>
      <c r="WCU136" s="17"/>
      <c r="WCV136" s="17"/>
      <c r="WCW136" s="17"/>
      <c r="WCX136" s="17"/>
      <c r="WCY136" s="17"/>
      <c r="WCZ136" s="17"/>
      <c r="WDA136" s="17"/>
      <c r="WDB136" s="17"/>
      <c r="WDC136" s="17"/>
      <c r="WDD136" s="17"/>
      <c r="WDE136" s="17"/>
      <c r="WDF136" s="17"/>
      <c r="WDG136" s="17"/>
      <c r="WDH136" s="17"/>
      <c r="WDI136" s="17"/>
      <c r="WDJ136" s="17"/>
      <c r="WDK136" s="17"/>
      <c r="WDL136" s="17"/>
      <c r="WDM136" s="17"/>
      <c r="WDN136" s="17"/>
      <c r="WDO136" s="17"/>
      <c r="WDP136" s="17"/>
      <c r="WDQ136" s="17"/>
      <c r="WDR136" s="17"/>
      <c r="WDS136" s="17"/>
      <c r="WDT136" s="17"/>
      <c r="WDU136" s="17"/>
      <c r="WDV136" s="17"/>
      <c r="WDW136" s="17"/>
      <c r="WDX136" s="17"/>
      <c r="WDY136" s="17"/>
      <c r="WDZ136" s="17"/>
      <c r="WEA136" s="17"/>
      <c r="WEB136" s="17"/>
      <c r="WEC136" s="17"/>
      <c r="WED136" s="17"/>
      <c r="WEE136" s="17"/>
      <c r="WEF136" s="17"/>
      <c r="WEG136" s="17"/>
      <c r="WEH136" s="17"/>
      <c r="WEI136" s="17"/>
      <c r="WEJ136" s="17"/>
      <c r="WEK136" s="17"/>
      <c r="WEL136" s="17"/>
      <c r="WEM136" s="17"/>
      <c r="WEN136" s="17"/>
      <c r="WEO136" s="17"/>
      <c r="WEP136" s="17"/>
      <c r="WEQ136" s="17"/>
      <c r="WER136" s="17"/>
      <c r="WES136" s="17"/>
      <c r="WET136" s="17"/>
      <c r="WEU136" s="17"/>
      <c r="WEV136" s="17"/>
      <c r="WEW136" s="17"/>
      <c r="WEX136" s="17"/>
      <c r="WEY136" s="17"/>
      <c r="WEZ136" s="17"/>
      <c r="WFA136" s="17"/>
      <c r="WFB136" s="17"/>
      <c r="WFC136" s="17"/>
      <c r="WFD136" s="17"/>
      <c r="WFE136" s="17"/>
      <c r="WFF136" s="17"/>
      <c r="WFG136" s="17"/>
      <c r="WFH136" s="17"/>
      <c r="WFI136" s="17"/>
      <c r="WFJ136" s="17"/>
      <c r="WFK136" s="17"/>
      <c r="WFL136" s="17"/>
      <c r="WFM136" s="17"/>
      <c r="WFN136" s="17"/>
      <c r="WFO136" s="17"/>
      <c r="WFP136" s="17"/>
      <c r="WFQ136" s="17"/>
      <c r="WFR136" s="17"/>
      <c r="WFS136" s="17"/>
      <c r="WFT136" s="17"/>
      <c r="WFU136" s="17"/>
      <c r="WFV136" s="17"/>
      <c r="WFW136" s="17"/>
      <c r="WFX136" s="17"/>
      <c r="WFY136" s="17"/>
      <c r="WFZ136" s="17"/>
      <c r="WGA136" s="17"/>
      <c r="WGB136" s="17"/>
      <c r="WGC136" s="17"/>
      <c r="WGD136" s="17"/>
      <c r="WGE136" s="17"/>
      <c r="WGF136" s="17"/>
      <c r="WGG136" s="17"/>
      <c r="WGH136" s="17"/>
      <c r="WGI136" s="17"/>
      <c r="WGJ136" s="17"/>
      <c r="WGK136" s="17"/>
      <c r="WGL136" s="17"/>
      <c r="WGM136" s="17"/>
      <c r="WGN136" s="17"/>
      <c r="WGO136" s="17"/>
      <c r="WGP136" s="17"/>
      <c r="WGQ136" s="17"/>
      <c r="WGR136" s="17"/>
      <c r="WGS136" s="17"/>
      <c r="WGT136" s="17"/>
      <c r="WGU136" s="17"/>
      <c r="WGV136" s="17"/>
      <c r="WGW136" s="17"/>
      <c r="WGX136" s="17"/>
      <c r="WGY136" s="17"/>
      <c r="WGZ136" s="17"/>
      <c r="WHA136" s="17"/>
      <c r="WHB136" s="17"/>
      <c r="WHC136" s="17"/>
      <c r="WHD136" s="17"/>
      <c r="WHE136" s="17"/>
      <c r="WHF136" s="17"/>
      <c r="WHG136" s="17"/>
      <c r="WHH136" s="17"/>
      <c r="WHI136" s="17"/>
      <c r="WHJ136" s="17"/>
      <c r="WHK136" s="17"/>
      <c r="WHL136" s="17"/>
      <c r="WHM136" s="17"/>
      <c r="WHN136" s="17"/>
      <c r="WHO136" s="17"/>
      <c r="WHP136" s="17"/>
      <c r="WHQ136" s="17"/>
      <c r="WHR136" s="17"/>
      <c r="WHS136" s="17"/>
      <c r="WHT136" s="17"/>
      <c r="WHU136" s="17"/>
      <c r="WHV136" s="17"/>
      <c r="WHW136" s="17"/>
      <c r="WHX136" s="17"/>
      <c r="WHY136" s="17"/>
      <c r="WHZ136" s="17"/>
      <c r="WIA136" s="17"/>
      <c r="WIB136" s="17"/>
      <c r="WIC136" s="17"/>
      <c r="WID136" s="17"/>
      <c r="WIE136" s="17"/>
      <c r="WIF136" s="17"/>
      <c r="WIG136" s="17"/>
      <c r="WIH136" s="17"/>
      <c r="WII136" s="17"/>
      <c r="WIJ136" s="17"/>
      <c r="WIK136" s="17"/>
      <c r="WIL136" s="17"/>
      <c r="WIM136" s="17"/>
      <c r="WIN136" s="17"/>
      <c r="WIO136" s="17"/>
      <c r="WIP136" s="17"/>
      <c r="WIQ136" s="17"/>
      <c r="WIR136" s="17"/>
      <c r="WIS136" s="17"/>
      <c r="WIT136" s="17"/>
      <c r="WIU136" s="17"/>
      <c r="WIV136" s="17"/>
      <c r="WIW136" s="17"/>
      <c r="WIX136" s="17"/>
      <c r="WIY136" s="17"/>
      <c r="WIZ136" s="17"/>
      <c r="WJA136" s="17"/>
      <c r="WJB136" s="17"/>
      <c r="WJC136" s="17"/>
      <c r="WJD136" s="17"/>
      <c r="WJE136" s="17"/>
      <c r="WJF136" s="17"/>
      <c r="WJG136" s="17"/>
      <c r="WJH136" s="17"/>
      <c r="WJI136" s="17"/>
      <c r="WJJ136" s="17"/>
      <c r="WJK136" s="17"/>
      <c r="WJL136" s="17"/>
      <c r="WJM136" s="17"/>
      <c r="WJN136" s="17"/>
      <c r="WJO136" s="17"/>
      <c r="WJP136" s="17"/>
      <c r="WJQ136" s="17"/>
      <c r="WJR136" s="17"/>
      <c r="WJS136" s="17"/>
      <c r="WJT136" s="17"/>
      <c r="WJU136" s="17"/>
      <c r="WJV136" s="17"/>
      <c r="WJW136" s="17"/>
      <c r="WJX136" s="17"/>
      <c r="WJY136" s="17"/>
      <c r="WJZ136" s="17"/>
      <c r="WKA136" s="17"/>
      <c r="WKB136" s="17"/>
      <c r="WKC136" s="17"/>
      <c r="WKD136" s="17"/>
      <c r="WKE136" s="17"/>
      <c r="WKF136" s="17"/>
      <c r="WKG136" s="17"/>
      <c r="WKH136" s="17"/>
      <c r="WKI136" s="17"/>
      <c r="WKJ136" s="17"/>
      <c r="WKK136" s="17"/>
      <c r="WKL136" s="17"/>
      <c r="WKM136" s="17"/>
      <c r="WKN136" s="17"/>
      <c r="WKO136" s="17"/>
      <c r="WKP136" s="17"/>
      <c r="WKQ136" s="17"/>
      <c r="WKR136" s="17"/>
      <c r="WKS136" s="17"/>
      <c r="WKT136" s="17"/>
      <c r="WKU136" s="17"/>
      <c r="WKV136" s="17"/>
      <c r="WKW136" s="17"/>
      <c r="WKX136" s="17"/>
      <c r="WKY136" s="17"/>
      <c r="WKZ136" s="17"/>
      <c r="WLA136" s="17"/>
      <c r="WLB136" s="17"/>
      <c r="WLC136" s="17"/>
      <c r="WLD136" s="17"/>
      <c r="WLE136" s="17"/>
      <c r="WLF136" s="17"/>
      <c r="WLG136" s="17"/>
      <c r="WLH136" s="17"/>
      <c r="WLI136" s="17"/>
      <c r="WLJ136" s="17"/>
      <c r="WLK136" s="17"/>
      <c r="WLL136" s="17"/>
      <c r="WLM136" s="17"/>
      <c r="WLN136" s="17"/>
      <c r="WLO136" s="17"/>
      <c r="WLP136" s="17"/>
      <c r="WLQ136" s="17"/>
      <c r="WLR136" s="17"/>
      <c r="WLS136" s="17"/>
      <c r="WLT136" s="17"/>
      <c r="WLU136" s="17"/>
      <c r="WLV136" s="17"/>
      <c r="WLW136" s="17"/>
      <c r="WLX136" s="17"/>
      <c r="WLY136" s="17"/>
      <c r="WLZ136" s="17"/>
      <c r="WMA136" s="17"/>
      <c r="WMB136" s="17"/>
      <c r="WMC136" s="17"/>
      <c r="WMD136" s="17"/>
      <c r="WME136" s="17"/>
      <c r="WMF136" s="17"/>
      <c r="WMG136" s="17"/>
      <c r="WMH136" s="17"/>
      <c r="WMI136" s="17"/>
      <c r="WMJ136" s="17"/>
      <c r="WMK136" s="17"/>
      <c r="WML136" s="17"/>
      <c r="WMM136" s="17"/>
      <c r="WMN136" s="17"/>
      <c r="WMO136" s="17"/>
      <c r="WMP136" s="17"/>
      <c r="WMQ136" s="17"/>
      <c r="WMR136" s="17"/>
      <c r="WMS136" s="17"/>
      <c r="WMT136" s="17"/>
      <c r="WMU136" s="17"/>
      <c r="WMV136" s="17"/>
      <c r="WMW136" s="17"/>
      <c r="WMX136" s="17"/>
      <c r="WMY136" s="17"/>
      <c r="WMZ136" s="17"/>
      <c r="WNA136" s="17"/>
      <c r="WNB136" s="17"/>
      <c r="WNC136" s="17"/>
      <c r="WND136" s="17"/>
      <c r="WNE136" s="17"/>
      <c r="WNF136" s="17"/>
      <c r="WNG136" s="17"/>
      <c r="WNH136" s="17"/>
      <c r="WNI136" s="17"/>
      <c r="WNJ136" s="17"/>
      <c r="WNK136" s="17"/>
      <c r="WNL136" s="17"/>
      <c r="WNM136" s="17"/>
      <c r="WNN136" s="17"/>
      <c r="WNO136" s="17"/>
      <c r="WNP136" s="17"/>
      <c r="WNQ136" s="17"/>
      <c r="WNR136" s="17"/>
      <c r="WNS136" s="17"/>
      <c r="WNT136" s="17"/>
      <c r="WNU136" s="17"/>
      <c r="WNV136" s="17"/>
      <c r="WNW136" s="17"/>
      <c r="WNX136" s="17"/>
      <c r="WNY136" s="17"/>
      <c r="WNZ136" s="17"/>
      <c r="WOA136" s="17"/>
      <c r="WOB136" s="17"/>
      <c r="WOC136" s="17"/>
      <c r="WOD136" s="17"/>
      <c r="WOE136" s="17"/>
      <c r="WOF136" s="17"/>
      <c r="WOG136" s="17"/>
      <c r="WOH136" s="17"/>
      <c r="WOI136" s="17"/>
      <c r="WOJ136" s="17"/>
      <c r="WOK136" s="17"/>
      <c r="WOL136" s="17"/>
      <c r="WOM136" s="17"/>
      <c r="WON136" s="17"/>
      <c r="WOO136" s="17"/>
      <c r="WOP136" s="17"/>
      <c r="WOQ136" s="17"/>
      <c r="WOR136" s="17"/>
      <c r="WOS136" s="17"/>
      <c r="WOT136" s="17"/>
      <c r="WOU136" s="17"/>
      <c r="WOV136" s="17"/>
      <c r="WOW136" s="17"/>
      <c r="WOX136" s="17"/>
      <c r="WOY136" s="17"/>
      <c r="WOZ136" s="17"/>
      <c r="WPA136" s="17"/>
      <c r="WPB136" s="17"/>
      <c r="WPC136" s="17"/>
      <c r="WPD136" s="17"/>
      <c r="WPE136" s="17"/>
      <c r="WPF136" s="17"/>
      <c r="WPG136" s="17"/>
      <c r="WPH136" s="17"/>
      <c r="WPI136" s="17"/>
      <c r="WPJ136" s="17"/>
      <c r="WPK136" s="17"/>
      <c r="WPL136" s="17"/>
      <c r="WPM136" s="17"/>
      <c r="WPN136" s="17"/>
      <c r="WPO136" s="17"/>
      <c r="WPP136" s="17"/>
      <c r="WPQ136" s="17"/>
      <c r="WPR136" s="17"/>
      <c r="WPS136" s="17"/>
      <c r="WPT136" s="17"/>
      <c r="WPU136" s="17"/>
      <c r="WPV136" s="17"/>
      <c r="WPW136" s="17"/>
      <c r="WPX136" s="17"/>
      <c r="WPY136" s="17"/>
      <c r="WPZ136" s="17"/>
      <c r="WQA136" s="17"/>
      <c r="WQB136" s="17"/>
      <c r="WQC136" s="17"/>
      <c r="WQD136" s="17"/>
      <c r="WQE136" s="17"/>
      <c r="WQF136" s="17"/>
      <c r="WQG136" s="17"/>
      <c r="WQH136" s="17"/>
      <c r="WQI136" s="17"/>
      <c r="WQJ136" s="17"/>
      <c r="WQK136" s="17"/>
      <c r="WQL136" s="17"/>
      <c r="WQM136" s="17"/>
      <c r="WQN136" s="17"/>
      <c r="WQO136" s="17"/>
      <c r="WQP136" s="17"/>
      <c r="WQQ136" s="17"/>
      <c r="WQR136" s="17"/>
      <c r="WQS136" s="17"/>
      <c r="WQT136" s="17"/>
      <c r="WQU136" s="17"/>
      <c r="WQV136" s="17"/>
      <c r="WQW136" s="17"/>
      <c r="WQX136" s="17"/>
      <c r="WQY136" s="17"/>
      <c r="WQZ136" s="17"/>
      <c r="WRA136" s="17"/>
      <c r="WRB136" s="17"/>
      <c r="WRC136" s="17"/>
      <c r="WRD136" s="17"/>
      <c r="WRE136" s="17"/>
      <c r="WRF136" s="17"/>
      <c r="WRG136" s="17"/>
      <c r="WRH136" s="17"/>
      <c r="WRI136" s="17"/>
      <c r="WRJ136" s="17"/>
      <c r="WRK136" s="17"/>
      <c r="WRL136" s="17"/>
      <c r="WRM136" s="17"/>
      <c r="WRN136" s="17"/>
      <c r="WRO136" s="17"/>
      <c r="WRP136" s="17"/>
      <c r="WRQ136" s="17"/>
      <c r="WRR136" s="17"/>
      <c r="WRS136" s="17"/>
      <c r="WRT136" s="17"/>
      <c r="WRU136" s="17"/>
      <c r="WRV136" s="17"/>
      <c r="WRW136" s="17"/>
      <c r="WRX136" s="17"/>
      <c r="WRY136" s="17"/>
      <c r="WRZ136" s="17"/>
      <c r="WSA136" s="17"/>
      <c r="WSB136" s="17"/>
      <c r="WSC136" s="17"/>
      <c r="WSD136" s="17"/>
      <c r="WSE136" s="17"/>
      <c r="WSF136" s="17"/>
      <c r="WSG136" s="17"/>
      <c r="WSH136" s="17"/>
      <c r="WSI136" s="17"/>
      <c r="WSJ136" s="17"/>
      <c r="WSK136" s="17"/>
      <c r="WSL136" s="17"/>
      <c r="WSM136" s="17"/>
      <c r="WSN136" s="17"/>
      <c r="WSO136" s="17"/>
      <c r="WSP136" s="17"/>
      <c r="WSQ136" s="17"/>
      <c r="WSR136" s="17"/>
      <c r="WSS136" s="17"/>
      <c r="WST136" s="17"/>
      <c r="WSU136" s="17"/>
      <c r="WSV136" s="17"/>
      <c r="WSW136" s="17"/>
      <c r="WSX136" s="17"/>
      <c r="WSY136" s="17"/>
      <c r="WSZ136" s="17"/>
      <c r="WTA136" s="17"/>
      <c r="WTB136" s="17"/>
      <c r="WTC136" s="17"/>
      <c r="WTD136" s="17"/>
      <c r="WTE136" s="17"/>
      <c r="WTF136" s="17"/>
      <c r="WTG136" s="17"/>
      <c r="WTH136" s="17"/>
      <c r="WTI136" s="17"/>
      <c r="WTJ136" s="17"/>
      <c r="WTK136" s="17"/>
      <c r="WTL136" s="17"/>
      <c r="WTM136" s="17"/>
      <c r="WTN136" s="17"/>
      <c r="WTO136" s="17"/>
      <c r="WTP136" s="17"/>
      <c r="WTQ136" s="17"/>
      <c r="WTR136" s="17"/>
      <c r="WTS136" s="17"/>
      <c r="WTT136" s="17"/>
      <c r="WTU136" s="17"/>
      <c r="WTV136" s="17"/>
      <c r="WTW136" s="17"/>
      <c r="WTX136" s="17"/>
      <c r="WTY136" s="17"/>
      <c r="WTZ136" s="17"/>
      <c r="WUA136" s="17"/>
      <c r="WUB136" s="17"/>
      <c r="WUC136" s="17"/>
      <c r="WUD136" s="17"/>
      <c r="WUE136" s="17"/>
      <c r="WUF136" s="17"/>
      <c r="WUG136" s="17"/>
      <c r="WUH136" s="17"/>
      <c r="WUI136" s="17"/>
      <c r="WUJ136" s="17"/>
      <c r="WUK136" s="17"/>
      <c r="WUL136" s="17"/>
      <c r="WUM136" s="17"/>
      <c r="WUN136" s="17"/>
      <c r="WUO136" s="17"/>
      <c r="WUP136" s="17"/>
      <c r="WUQ136" s="17"/>
      <c r="WUR136" s="17"/>
      <c r="WUS136" s="17"/>
      <c r="WUT136" s="17"/>
      <c r="WUU136" s="17"/>
      <c r="WUV136" s="17"/>
      <c r="WUW136" s="17"/>
      <c r="WUX136" s="17"/>
      <c r="WUY136" s="17"/>
      <c r="WUZ136" s="17"/>
      <c r="WVA136" s="17"/>
      <c r="WVB136" s="17"/>
      <c r="WVC136" s="17"/>
      <c r="WVD136" s="17"/>
      <c r="WVE136" s="17"/>
      <c r="WVF136" s="17"/>
      <c r="WVG136" s="17"/>
      <c r="WVH136" s="17"/>
      <c r="WVI136" s="17"/>
      <c r="WVJ136" s="17"/>
      <c r="WVK136" s="17"/>
      <c r="WVL136" s="17"/>
      <c r="WVM136" s="17"/>
      <c r="WVN136" s="17"/>
      <c r="WVO136" s="17"/>
      <c r="WVP136" s="17"/>
      <c r="WVQ136" s="17"/>
      <c r="WVR136" s="17"/>
      <c r="WVS136" s="17"/>
      <c r="WVT136" s="17"/>
      <c r="WVU136" s="17"/>
      <c r="WVV136" s="17"/>
      <c r="WVW136" s="17"/>
      <c r="WVX136" s="17"/>
      <c r="WVY136" s="17"/>
      <c r="WVZ136" s="17"/>
      <c r="WWA136" s="17"/>
      <c r="WWB136" s="17"/>
      <c r="WWC136" s="17"/>
      <c r="WWD136" s="17"/>
      <c r="WWE136" s="17"/>
      <c r="WWF136" s="17"/>
      <c r="WWG136" s="17"/>
      <c r="WWH136" s="17"/>
      <c r="WWI136" s="17"/>
      <c r="WWJ136" s="17"/>
      <c r="WWK136" s="17"/>
      <c r="WWL136" s="17"/>
      <c r="WWM136" s="17"/>
      <c r="WWN136" s="17"/>
      <c r="WWO136" s="17"/>
      <c r="WWP136" s="17"/>
      <c r="WWQ136" s="17"/>
      <c r="WWR136" s="17"/>
      <c r="WWS136" s="17"/>
      <c r="WWT136" s="17"/>
      <c r="WWU136" s="17"/>
      <c r="WWV136" s="17"/>
      <c r="WWW136" s="17"/>
      <c r="WWX136" s="17"/>
      <c r="WWY136" s="17"/>
      <c r="WWZ136" s="17"/>
      <c r="WXA136" s="17"/>
      <c r="WXB136" s="17"/>
      <c r="WXC136" s="17"/>
      <c r="WXD136" s="17"/>
      <c r="WXE136" s="17"/>
      <c r="WXF136" s="17"/>
      <c r="WXG136" s="17"/>
      <c r="WXH136" s="17"/>
      <c r="WXI136" s="17"/>
      <c r="WXJ136" s="17"/>
      <c r="WXK136" s="17"/>
      <c r="WXL136" s="17"/>
      <c r="WXM136" s="17"/>
      <c r="WXN136" s="17"/>
      <c r="WXO136" s="17"/>
      <c r="WXP136" s="17"/>
      <c r="WXQ136" s="17"/>
      <c r="WXR136" s="17"/>
      <c r="WXS136" s="17"/>
      <c r="WXT136" s="17"/>
      <c r="WXU136" s="17"/>
      <c r="WXV136" s="17"/>
      <c r="WXW136" s="17"/>
      <c r="WXX136" s="17"/>
      <c r="WXY136" s="17"/>
      <c r="WXZ136" s="17"/>
      <c r="WYA136" s="17"/>
      <c r="WYB136" s="17"/>
      <c r="WYC136" s="17"/>
      <c r="WYD136" s="17"/>
      <c r="WYE136" s="17"/>
      <c r="WYF136" s="17"/>
      <c r="WYG136" s="17"/>
      <c r="WYH136" s="17"/>
      <c r="WYI136" s="17"/>
      <c r="WYJ136" s="17"/>
      <c r="WYK136" s="17"/>
      <c r="WYL136" s="17"/>
      <c r="WYM136" s="17"/>
      <c r="WYN136" s="17"/>
      <c r="WYO136" s="17"/>
      <c r="WYP136" s="17"/>
      <c r="WYQ136" s="17"/>
      <c r="WYR136" s="17"/>
      <c r="WYS136" s="17"/>
      <c r="WYT136" s="17"/>
      <c r="WYU136" s="17"/>
      <c r="WYV136" s="17"/>
      <c r="WYW136" s="17"/>
      <c r="WYX136" s="17"/>
      <c r="WYY136" s="17"/>
      <c r="WYZ136" s="17"/>
      <c r="WZA136" s="17"/>
      <c r="WZB136" s="17"/>
      <c r="WZC136" s="17"/>
      <c r="WZD136" s="17"/>
      <c r="WZE136" s="17"/>
      <c r="WZF136" s="17"/>
      <c r="WZG136" s="17"/>
      <c r="WZH136" s="17"/>
      <c r="WZI136" s="17"/>
      <c r="WZJ136" s="17"/>
      <c r="WZK136" s="17"/>
      <c r="WZL136" s="17"/>
      <c r="WZM136" s="17"/>
      <c r="WZN136" s="17"/>
      <c r="WZO136" s="17"/>
      <c r="WZP136" s="17"/>
      <c r="WZQ136" s="17"/>
      <c r="WZR136" s="17"/>
      <c r="WZS136" s="17"/>
      <c r="WZT136" s="17"/>
      <c r="WZU136" s="17"/>
      <c r="WZV136" s="17"/>
      <c r="WZW136" s="17"/>
      <c r="WZX136" s="17"/>
      <c r="WZY136" s="17"/>
      <c r="WZZ136" s="17"/>
      <c r="XAA136" s="17"/>
      <c r="XAB136" s="17"/>
      <c r="XAC136" s="17"/>
      <c r="XAD136" s="17"/>
      <c r="XAE136" s="17"/>
      <c r="XAF136" s="17"/>
      <c r="XAG136" s="17"/>
      <c r="XAH136" s="17"/>
      <c r="XAI136" s="17"/>
      <c r="XAJ136" s="17"/>
      <c r="XAK136" s="17"/>
      <c r="XAL136" s="17"/>
      <c r="XAM136" s="17"/>
      <c r="XAN136" s="17"/>
      <c r="XAO136" s="17"/>
      <c r="XAP136" s="17"/>
      <c r="XAQ136" s="17"/>
      <c r="XAR136" s="17"/>
      <c r="XAS136" s="17"/>
      <c r="XAT136" s="17"/>
      <c r="XAU136" s="17"/>
      <c r="XAV136" s="17"/>
      <c r="XAW136" s="17"/>
      <c r="XAX136" s="17"/>
      <c r="XAY136" s="17"/>
      <c r="XAZ136" s="17"/>
      <c r="XBA136" s="17"/>
      <c r="XBB136" s="17"/>
      <c r="XBC136" s="17"/>
      <c r="XBD136" s="17"/>
      <c r="XBE136" s="17"/>
      <c r="XBF136" s="17"/>
      <c r="XBG136" s="17"/>
      <c r="XBH136" s="17"/>
      <c r="XBI136" s="17"/>
      <c r="XBJ136" s="17"/>
      <c r="XBK136" s="17"/>
      <c r="XBL136" s="17"/>
      <c r="XBM136" s="17"/>
      <c r="XBN136" s="17"/>
      <c r="XBO136" s="17"/>
      <c r="XBP136" s="17"/>
      <c r="XBQ136" s="17"/>
      <c r="XBR136" s="17"/>
      <c r="XBS136" s="17"/>
      <c r="XBT136" s="17"/>
      <c r="XBU136" s="17"/>
      <c r="XBV136" s="17"/>
      <c r="XBW136" s="17"/>
      <c r="XBX136" s="17"/>
      <c r="XBY136" s="17"/>
      <c r="XBZ136" s="17"/>
      <c r="XCA136" s="17"/>
      <c r="XCB136" s="17"/>
      <c r="XCC136" s="17"/>
      <c r="XCD136" s="17"/>
      <c r="XCE136" s="17"/>
      <c r="XCF136" s="17"/>
      <c r="XCG136" s="17"/>
      <c r="XCH136" s="17"/>
      <c r="XCI136" s="17"/>
      <c r="XCJ136" s="17"/>
      <c r="XCK136" s="17"/>
      <c r="XCL136" s="17"/>
      <c r="XCM136" s="17"/>
      <c r="XCN136" s="17"/>
      <c r="XCO136" s="17"/>
      <c r="XCP136" s="17"/>
      <c r="XCQ136" s="17"/>
      <c r="XCR136" s="17"/>
      <c r="XCS136" s="17"/>
      <c r="XCT136" s="17"/>
      <c r="XCU136" s="17"/>
      <c r="XCV136" s="17"/>
      <c r="XCW136" s="17"/>
      <c r="XCX136" s="17"/>
      <c r="XCY136" s="17"/>
      <c r="XCZ136" s="17"/>
      <c r="XDA136" s="17"/>
      <c r="XDB136" s="17"/>
    </row>
    <row r="137" spans="1:16330" s="20" customFormat="1" ht="14.25" customHeight="1">
      <c r="A137" s="78"/>
      <c r="B137" s="23"/>
      <c r="C137" s="52"/>
      <c r="D137" s="154"/>
      <c r="E137" s="8"/>
      <c r="F137" s="8"/>
      <c r="G137" s="8"/>
      <c r="H137" s="8"/>
      <c r="I137" s="8"/>
      <c r="J137" s="49"/>
      <c r="K137" s="38"/>
      <c r="L137" s="38"/>
      <c r="M137" s="38"/>
      <c r="N137" s="38"/>
      <c r="O137" s="39"/>
      <c r="P137" s="37"/>
      <c r="Q137" s="27"/>
    </row>
    <row r="138" spans="1:16330" s="20" customFormat="1" ht="14.25" customHeight="1">
      <c r="A138" s="75"/>
      <c r="B138" s="8"/>
      <c r="C138" s="52"/>
      <c r="D138" s="155"/>
      <c r="E138" s="11"/>
      <c r="F138" s="11"/>
      <c r="G138" s="11"/>
      <c r="H138" s="11"/>
      <c r="I138" s="11"/>
      <c r="J138" s="49"/>
      <c r="K138" s="38"/>
      <c r="L138" s="38"/>
      <c r="M138" s="38"/>
      <c r="N138" s="38"/>
      <c r="O138" s="39"/>
      <c r="P138" s="37"/>
      <c r="Q138" s="27"/>
    </row>
    <row r="139" spans="1:16330" s="20" customFormat="1" ht="14.25" customHeight="1">
      <c r="A139" s="75"/>
      <c r="B139" s="8"/>
      <c r="C139" s="52"/>
      <c r="D139" s="155"/>
      <c r="E139" s="11"/>
      <c r="F139" s="11"/>
      <c r="G139" s="11"/>
      <c r="H139" s="11"/>
      <c r="I139" s="11"/>
      <c r="J139" s="49"/>
      <c r="K139" s="38"/>
      <c r="L139" s="38"/>
      <c r="M139" s="38"/>
      <c r="N139" s="38"/>
      <c r="O139" s="39"/>
      <c r="P139" s="37"/>
      <c r="Q139" s="27"/>
    </row>
    <row r="140" spans="1:16330" s="20" customFormat="1" ht="14.25" customHeight="1">
      <c r="A140" s="75"/>
      <c r="B140" s="8"/>
      <c r="C140" s="52"/>
      <c r="D140" s="155"/>
      <c r="E140" s="11"/>
      <c r="F140" s="11"/>
      <c r="G140" s="11"/>
      <c r="H140" s="11"/>
      <c r="I140" s="11"/>
      <c r="J140" s="49"/>
      <c r="K140" s="38"/>
      <c r="L140" s="38"/>
      <c r="M140" s="38"/>
      <c r="N140" s="38"/>
      <c r="O140" s="39"/>
      <c r="P140" s="37"/>
      <c r="Q140" s="27"/>
    </row>
    <row r="141" spans="1:16330" s="20" customFormat="1" ht="14.25" customHeight="1">
      <c r="A141" s="75"/>
      <c r="B141" s="8"/>
      <c r="C141" s="52"/>
      <c r="D141" s="155"/>
      <c r="E141" s="11"/>
      <c r="F141" s="11"/>
      <c r="G141" s="11"/>
      <c r="H141" s="11"/>
      <c r="I141" s="11"/>
      <c r="J141" s="49"/>
      <c r="K141" s="38"/>
      <c r="L141" s="38"/>
      <c r="M141" s="38"/>
      <c r="N141" s="38"/>
      <c r="O141" s="39"/>
      <c r="P141" s="37"/>
      <c r="Q141" s="27"/>
    </row>
    <row r="142" spans="1:16330" s="20" customFormat="1" ht="14.25" customHeight="1">
      <c r="A142" s="75"/>
      <c r="B142" s="8"/>
      <c r="C142" s="52"/>
      <c r="D142" s="155"/>
      <c r="E142" s="11"/>
      <c r="F142" s="11"/>
      <c r="G142" s="11"/>
      <c r="H142" s="11"/>
      <c r="I142" s="11"/>
      <c r="J142" s="49"/>
      <c r="K142" s="38"/>
      <c r="L142" s="38"/>
      <c r="M142" s="38"/>
      <c r="N142" s="38"/>
      <c r="O142" s="39"/>
      <c r="P142" s="37"/>
      <c r="Q142" s="27"/>
    </row>
    <row r="143" spans="1:16330" s="20" customFormat="1" ht="14.25" customHeight="1">
      <c r="A143" s="75"/>
      <c r="B143" s="8"/>
      <c r="C143" s="52"/>
      <c r="D143" s="155"/>
      <c r="E143" s="11"/>
      <c r="F143" s="11"/>
      <c r="G143" s="11"/>
      <c r="H143" s="11"/>
      <c r="I143" s="11"/>
      <c r="J143" s="49"/>
      <c r="K143" s="38"/>
      <c r="L143" s="38"/>
      <c r="M143" s="38"/>
      <c r="N143" s="38"/>
      <c r="O143" s="39"/>
      <c r="P143" s="37"/>
      <c r="Q143" s="27"/>
    </row>
    <row r="144" spans="1:16330" s="20" customFormat="1" ht="14.25" customHeight="1">
      <c r="A144" s="75"/>
      <c r="B144" s="8"/>
      <c r="C144" s="11"/>
      <c r="D144" s="155"/>
      <c r="E144" s="11"/>
      <c r="F144" s="11"/>
      <c r="G144" s="11"/>
      <c r="H144" s="11"/>
      <c r="I144" s="11"/>
      <c r="J144" s="49"/>
      <c r="K144" s="38"/>
      <c r="L144" s="38"/>
      <c r="M144" s="38"/>
      <c r="N144" s="38"/>
      <c r="O144" s="39"/>
      <c r="P144" s="37"/>
      <c r="Q144" s="27"/>
    </row>
    <row r="145" spans="1:17" s="20" customFormat="1" ht="12.75" customHeight="1">
      <c r="A145" s="75"/>
      <c r="B145" s="8"/>
      <c r="C145" s="18"/>
      <c r="D145" s="156"/>
      <c r="E145" s="18"/>
      <c r="F145" s="18"/>
      <c r="G145" s="18"/>
      <c r="H145" s="18"/>
      <c r="I145" s="18"/>
      <c r="J145" s="49"/>
      <c r="K145" s="38"/>
      <c r="L145" s="38"/>
      <c r="M145" s="38"/>
      <c r="N145" s="38"/>
      <c r="O145" s="39"/>
      <c r="P145" s="37"/>
      <c r="Q145" s="27"/>
    </row>
    <row r="146" spans="1:17" s="20" customFormat="1" ht="14.25" customHeight="1">
      <c r="A146" s="75"/>
      <c r="B146" s="8"/>
      <c r="C146" s="11"/>
      <c r="D146" s="155"/>
      <c r="E146" s="11"/>
      <c r="F146" s="11"/>
      <c r="G146" s="11"/>
      <c r="H146" s="11"/>
      <c r="I146" s="11"/>
      <c r="J146" s="49"/>
      <c r="K146" s="38"/>
      <c r="L146" s="38"/>
      <c r="M146" s="38"/>
      <c r="N146" s="38"/>
      <c r="O146" s="39"/>
      <c r="P146" s="37"/>
      <c r="Q146" s="27"/>
    </row>
    <row r="147" spans="1:17" s="20" customFormat="1" ht="14.25" customHeight="1">
      <c r="A147" s="75"/>
      <c r="B147" s="8"/>
      <c r="C147" s="11"/>
      <c r="D147" s="155"/>
      <c r="E147" s="11"/>
      <c r="F147" s="11"/>
      <c r="G147" s="11"/>
      <c r="H147" s="11"/>
      <c r="I147" s="11"/>
      <c r="J147" s="49"/>
      <c r="K147" s="38"/>
      <c r="L147" s="38"/>
      <c r="M147" s="38"/>
      <c r="N147" s="38"/>
      <c r="O147" s="39"/>
      <c r="P147" s="37"/>
      <c r="Q147" s="27"/>
    </row>
    <row r="148" spans="1:17" s="20" customFormat="1" ht="14.25" customHeight="1">
      <c r="A148" s="75"/>
      <c r="B148" s="8"/>
      <c r="C148" s="11"/>
      <c r="D148" s="155"/>
      <c r="E148" s="11"/>
      <c r="F148" s="11"/>
      <c r="G148" s="11"/>
      <c r="H148" s="11"/>
      <c r="I148" s="11"/>
      <c r="J148" s="49"/>
      <c r="K148" s="38"/>
      <c r="L148" s="38"/>
      <c r="M148" s="38"/>
      <c r="N148" s="38"/>
      <c r="O148" s="39"/>
      <c r="P148" s="37"/>
      <c r="Q148" s="27"/>
    </row>
    <row r="149" spans="1:17" s="20" customFormat="1" ht="14.25" customHeight="1">
      <c r="A149" s="75"/>
      <c r="B149" s="8"/>
      <c r="C149" s="11"/>
      <c r="D149" s="155"/>
      <c r="E149" s="11"/>
      <c r="F149" s="11"/>
      <c r="G149" s="11"/>
      <c r="H149" s="11"/>
      <c r="I149" s="11"/>
      <c r="J149" s="49"/>
      <c r="K149" s="38"/>
      <c r="L149" s="38"/>
      <c r="M149" s="38"/>
      <c r="N149" s="38"/>
      <c r="O149" s="39"/>
      <c r="P149" s="37"/>
      <c r="Q149" s="27"/>
    </row>
    <row r="150" spans="1:17" s="20" customFormat="1" ht="14.25" customHeight="1">
      <c r="A150" s="75"/>
      <c r="B150" s="8"/>
      <c r="C150" s="11"/>
      <c r="D150" s="155"/>
      <c r="E150" s="11"/>
      <c r="F150" s="11"/>
      <c r="G150" s="11"/>
      <c r="H150" s="11"/>
      <c r="I150" s="8"/>
      <c r="J150" s="49"/>
      <c r="K150" s="38"/>
      <c r="L150" s="38"/>
      <c r="M150" s="38"/>
      <c r="N150" s="38"/>
      <c r="O150" s="39"/>
      <c r="P150" s="37"/>
      <c r="Q150" s="27"/>
    </row>
    <row r="151" spans="1:17" s="20" customFormat="1" ht="14.25" customHeight="1">
      <c r="A151" s="75"/>
      <c r="B151" s="8"/>
      <c r="C151" s="11"/>
      <c r="D151" s="155"/>
      <c r="E151" s="11"/>
      <c r="F151" s="11"/>
      <c r="G151" s="11"/>
      <c r="H151" s="11"/>
      <c r="I151" s="11"/>
      <c r="J151" s="49"/>
      <c r="K151" s="38"/>
      <c r="L151" s="38"/>
      <c r="M151" s="38"/>
      <c r="N151" s="38"/>
      <c r="O151" s="39"/>
      <c r="P151" s="37"/>
      <c r="Q151" s="27"/>
    </row>
    <row r="152" spans="1:17" s="20" customFormat="1" ht="14.25" customHeight="1">
      <c r="A152" s="75"/>
      <c r="B152" s="8"/>
      <c r="C152" s="11"/>
      <c r="D152" s="155"/>
      <c r="E152" s="11"/>
      <c r="F152" s="11"/>
      <c r="G152" s="11"/>
      <c r="H152" s="11"/>
      <c r="I152" s="11"/>
      <c r="J152" s="49"/>
      <c r="K152" s="38"/>
      <c r="L152" s="38"/>
      <c r="M152" s="38"/>
      <c r="N152" s="38"/>
      <c r="O152" s="39"/>
      <c r="P152" s="37"/>
      <c r="Q152" s="27"/>
    </row>
    <row r="153" spans="1:17" s="20" customFormat="1" ht="14.25" customHeight="1">
      <c r="A153" s="75"/>
      <c r="B153" s="8"/>
      <c r="C153" s="11"/>
      <c r="D153" s="155"/>
      <c r="E153" s="11"/>
      <c r="F153" s="11"/>
      <c r="G153" s="11"/>
      <c r="H153" s="11"/>
      <c r="I153" s="8"/>
      <c r="J153" s="49"/>
      <c r="K153" s="38"/>
      <c r="L153" s="38"/>
      <c r="M153" s="38"/>
      <c r="N153" s="38"/>
      <c r="O153" s="39"/>
      <c r="P153" s="37"/>
      <c r="Q153" s="27"/>
    </row>
    <row r="154" spans="1:17" s="20" customFormat="1" ht="14.25" customHeight="1">
      <c r="A154" s="75"/>
      <c r="B154" s="8"/>
      <c r="C154" s="11"/>
      <c r="D154" s="155"/>
      <c r="E154" s="11"/>
      <c r="F154" s="11"/>
      <c r="G154" s="11"/>
      <c r="H154" s="11"/>
      <c r="I154" s="11"/>
      <c r="J154" s="49"/>
      <c r="K154" s="38"/>
      <c r="L154" s="38"/>
      <c r="M154" s="38"/>
      <c r="N154" s="38"/>
      <c r="O154" s="39"/>
      <c r="P154" s="37"/>
      <c r="Q154" s="27"/>
    </row>
    <row r="155" spans="1:17" s="20" customFormat="1" ht="14.25" customHeight="1">
      <c r="A155" s="75"/>
      <c r="B155" s="8"/>
      <c r="C155" s="11"/>
      <c r="D155" s="155"/>
      <c r="E155" s="11"/>
      <c r="F155" s="11"/>
      <c r="G155" s="11"/>
      <c r="H155" s="11"/>
      <c r="I155" s="11"/>
      <c r="J155" s="49"/>
      <c r="K155" s="38"/>
      <c r="L155" s="38"/>
      <c r="M155" s="38"/>
      <c r="N155" s="38"/>
      <c r="O155" s="39"/>
      <c r="P155" s="37"/>
      <c r="Q155" s="27"/>
    </row>
    <row r="156" spans="1:17" s="20" customFormat="1" ht="14.25" customHeight="1">
      <c r="A156" s="75"/>
      <c r="B156" s="16"/>
      <c r="C156" s="29"/>
      <c r="D156" s="157"/>
      <c r="E156" s="29"/>
      <c r="F156" s="29"/>
      <c r="G156" s="29"/>
      <c r="H156" s="29"/>
      <c r="I156" s="29"/>
      <c r="J156" s="49"/>
      <c r="K156" s="40"/>
      <c r="L156" s="40"/>
      <c r="M156" s="40"/>
      <c r="N156" s="40"/>
      <c r="O156" s="41"/>
      <c r="P156" s="42"/>
      <c r="Q156" s="27"/>
    </row>
    <row r="157" spans="1:17" s="20" customFormat="1" ht="14.25" customHeight="1">
      <c r="A157" s="75"/>
      <c r="B157" s="8"/>
      <c r="C157" s="11"/>
      <c r="D157" s="155"/>
      <c r="E157" s="11"/>
      <c r="F157" s="11"/>
      <c r="G157" s="11"/>
      <c r="H157" s="11"/>
      <c r="I157" s="11"/>
      <c r="J157" s="49"/>
      <c r="K157" s="38"/>
      <c r="L157" s="38"/>
      <c r="M157" s="38"/>
      <c r="N157" s="38"/>
      <c r="O157" s="38"/>
      <c r="P157" s="37"/>
      <c r="Q157" s="27"/>
    </row>
    <row r="158" spans="1:17" s="19" customFormat="1" ht="14.25" customHeight="1">
      <c r="A158" s="75"/>
      <c r="B158" s="8"/>
      <c r="C158" s="11"/>
      <c r="D158" s="155"/>
      <c r="E158" s="11"/>
      <c r="F158" s="11"/>
      <c r="G158" s="11"/>
      <c r="H158" s="11"/>
      <c r="I158" s="11"/>
      <c r="J158" s="46"/>
      <c r="K158" s="38"/>
      <c r="L158" s="38"/>
      <c r="M158" s="38"/>
      <c r="N158" s="38"/>
      <c r="O158" s="38"/>
      <c r="P158" s="32"/>
      <c r="Q158" s="28"/>
    </row>
    <row r="159" spans="1:17" ht="15" customHeight="1">
      <c r="A159" s="75"/>
      <c r="B159" s="19"/>
      <c r="C159" s="19"/>
      <c r="D159" s="158"/>
      <c r="E159" s="19"/>
      <c r="F159" s="19"/>
      <c r="G159" s="19"/>
      <c r="H159" s="19"/>
      <c r="I159" s="19"/>
      <c r="K159" s="32"/>
      <c r="L159" s="32"/>
      <c r="M159" s="32"/>
      <c r="N159" s="32"/>
      <c r="O159" s="32"/>
      <c r="P159" s="32"/>
      <c r="Q159" s="25"/>
    </row>
    <row r="160" spans="1:17" ht="15" customHeight="1">
      <c r="A160" s="75"/>
    </row>
    <row r="161" spans="1:1" ht="15" customHeight="1">
      <c r="A161" s="75"/>
    </row>
    <row r="162" spans="1:1" ht="15" customHeight="1">
      <c r="A162" s="75"/>
    </row>
    <row r="163" spans="1:1" ht="15" customHeight="1">
      <c r="A163" s="75"/>
    </row>
    <row r="164" spans="1:1" ht="15" customHeight="1">
      <c r="A164" s="75"/>
    </row>
    <row r="165" spans="1:1" ht="15" customHeight="1">
      <c r="A165" s="75"/>
    </row>
    <row r="166" spans="1:1" ht="15" customHeight="1">
      <c r="A166" s="75"/>
    </row>
    <row r="167" spans="1:1" ht="15" customHeight="1">
      <c r="A167" s="75"/>
    </row>
    <row r="168" spans="1:1" ht="15" customHeight="1">
      <c r="A168" s="75"/>
    </row>
    <row r="169" spans="1:1" ht="15" customHeight="1">
      <c r="A169" s="75"/>
    </row>
    <row r="170" spans="1:1" ht="15" customHeight="1">
      <c r="A170" s="75"/>
    </row>
    <row r="171" spans="1:1" ht="15" customHeight="1">
      <c r="A171" s="75"/>
    </row>
    <row r="172" spans="1:1" ht="15" customHeight="1">
      <c r="A172" s="75"/>
    </row>
    <row r="173" spans="1:1" ht="15" customHeight="1">
      <c r="A173" s="75"/>
    </row>
    <row r="174" spans="1:1" ht="15" customHeight="1">
      <c r="A174" s="75"/>
    </row>
    <row r="175" spans="1:1" ht="15" customHeight="1">
      <c r="A175" s="75"/>
    </row>
    <row r="176" spans="1:1" ht="15" customHeight="1">
      <c r="A176" s="75"/>
    </row>
    <row r="177" spans="1:1" ht="15" customHeight="1">
      <c r="A177" s="75"/>
    </row>
    <row r="178" spans="1:1" ht="15" customHeight="1">
      <c r="A178" s="75"/>
    </row>
    <row r="179" spans="1:1" ht="15" customHeight="1">
      <c r="A179" s="75"/>
    </row>
    <row r="180" spans="1:1" ht="15" customHeight="1">
      <c r="A180" s="75"/>
    </row>
    <row r="181" spans="1:1" ht="15" customHeight="1">
      <c r="A181" s="75"/>
    </row>
    <row r="182" spans="1:1" ht="15" customHeight="1">
      <c r="A182" s="75"/>
    </row>
    <row r="183" spans="1:1" ht="15" customHeight="1">
      <c r="A183" s="75"/>
    </row>
    <row r="184" spans="1:1" ht="15" customHeight="1">
      <c r="A184" s="75"/>
    </row>
    <row r="185" spans="1:1" ht="15" customHeight="1">
      <c r="A185" s="75"/>
    </row>
    <row r="186" spans="1:1" ht="15" customHeight="1">
      <c r="A186" s="75"/>
    </row>
    <row r="187" spans="1:1" ht="15" customHeight="1">
      <c r="A187" s="75"/>
    </row>
    <row r="188" spans="1:1" ht="15" customHeight="1">
      <c r="A188" s="75"/>
    </row>
    <row r="189" spans="1:1" ht="15" customHeight="1">
      <c r="A189" s="75"/>
    </row>
    <row r="190" spans="1:1" ht="15" customHeight="1">
      <c r="A190" s="75"/>
    </row>
    <row r="191" spans="1:1" ht="15" customHeight="1">
      <c r="A191" s="75"/>
    </row>
    <row r="192" spans="1:1" ht="15" customHeight="1">
      <c r="A192" s="75"/>
    </row>
    <row r="193" spans="1:1" ht="15" customHeight="1">
      <c r="A193" s="75"/>
    </row>
    <row r="194" spans="1:1" ht="15" customHeight="1">
      <c r="A194" s="75"/>
    </row>
    <row r="195" spans="1:1" ht="15" customHeight="1">
      <c r="A195" s="75"/>
    </row>
    <row r="196" spans="1:1" ht="15" customHeight="1">
      <c r="A196" s="75"/>
    </row>
    <row r="197" spans="1:1" ht="15" customHeight="1">
      <c r="A197" s="75"/>
    </row>
    <row r="198" spans="1:1" ht="15" customHeight="1">
      <c r="A198" s="75"/>
    </row>
    <row r="199" spans="1:1" ht="15" customHeight="1">
      <c r="A199" s="75"/>
    </row>
    <row r="200" spans="1:1" ht="15" customHeight="1">
      <c r="A200" s="75"/>
    </row>
    <row r="201" spans="1:1" ht="15" customHeight="1">
      <c r="A201" s="75"/>
    </row>
    <row r="202" spans="1:1" ht="15" customHeight="1">
      <c r="A202" s="75"/>
    </row>
    <row r="203" spans="1:1" ht="15" customHeight="1">
      <c r="A203" s="75"/>
    </row>
    <row r="204" spans="1:1" ht="15" customHeight="1">
      <c r="A204" s="75"/>
    </row>
    <row r="205" spans="1:1" ht="15" customHeight="1">
      <c r="A205" s="75"/>
    </row>
    <row r="206" spans="1:1" ht="15" customHeight="1">
      <c r="A206" s="75"/>
    </row>
    <row r="207" spans="1:1" ht="15" customHeight="1">
      <c r="A207" s="75"/>
    </row>
    <row r="208" spans="1:1" ht="15" customHeight="1">
      <c r="A208" s="75"/>
    </row>
    <row r="209" spans="1:1" ht="15" customHeight="1">
      <c r="A209" s="75"/>
    </row>
    <row r="210" spans="1:1" ht="15" customHeight="1">
      <c r="A210" s="11"/>
    </row>
    <row r="211" spans="1:1" ht="15" customHeight="1">
      <c r="A211" s="11"/>
    </row>
    <row r="212" spans="1:1" ht="15" customHeight="1">
      <c r="A212" s="11"/>
    </row>
    <row r="213" spans="1:1" ht="15" customHeight="1">
      <c r="A213" s="11"/>
    </row>
    <row r="214" spans="1:1" ht="15" customHeight="1">
      <c r="A214" s="11"/>
    </row>
    <row r="215" spans="1:1" ht="15" customHeight="1">
      <c r="A215" s="11"/>
    </row>
    <row r="216" spans="1:1" ht="15" customHeight="1">
      <c r="A216" s="11"/>
    </row>
    <row r="217" spans="1:1" ht="15" customHeight="1">
      <c r="A217" s="11"/>
    </row>
    <row r="218" spans="1:1" ht="15" customHeight="1">
      <c r="A218" s="11"/>
    </row>
    <row r="219" spans="1:1" ht="15" customHeight="1">
      <c r="A219" s="11"/>
    </row>
    <row r="220" spans="1:1" ht="15" customHeight="1">
      <c r="A220" s="11"/>
    </row>
    <row r="221" spans="1:1" ht="15" customHeight="1">
      <c r="A221" s="11"/>
    </row>
    <row r="222" spans="1:1" ht="15" customHeight="1">
      <c r="A222" s="11"/>
    </row>
    <row r="223" spans="1:1" ht="15" customHeight="1">
      <c r="A223" s="11"/>
    </row>
    <row r="224" spans="1:1" ht="15" customHeight="1">
      <c r="A224" s="11"/>
    </row>
    <row r="225" spans="1:1" ht="15" customHeight="1">
      <c r="A225" s="11"/>
    </row>
    <row r="226" spans="1:1" ht="15" customHeight="1">
      <c r="A226" s="11"/>
    </row>
    <row r="227" spans="1:1" ht="15" customHeight="1">
      <c r="A227" s="11"/>
    </row>
    <row r="228" spans="1:1" ht="15" customHeight="1">
      <c r="A228" s="11"/>
    </row>
    <row r="229" spans="1:1" ht="15" customHeight="1">
      <c r="A229" s="11"/>
    </row>
    <row r="230" spans="1:1" ht="15" customHeight="1">
      <c r="A230" s="11"/>
    </row>
    <row r="231" spans="1:1" ht="15" customHeight="1">
      <c r="A231" s="11"/>
    </row>
    <row r="232" spans="1:1" ht="15" customHeight="1">
      <c r="A232" s="11"/>
    </row>
    <row r="233" spans="1:1" ht="15" customHeight="1">
      <c r="A233" s="11"/>
    </row>
    <row r="234" spans="1:1" ht="15" customHeight="1">
      <c r="A234" s="11"/>
    </row>
    <row r="235" spans="1:1" ht="15" customHeight="1">
      <c r="A235" s="11"/>
    </row>
    <row r="236" spans="1:1" ht="15" customHeight="1">
      <c r="A236" s="11"/>
    </row>
    <row r="237" spans="1:1" ht="15" customHeight="1">
      <c r="A237" s="11"/>
    </row>
    <row r="238" spans="1:1" ht="15" customHeight="1">
      <c r="A238" s="11"/>
    </row>
    <row r="239" spans="1:1" ht="15" customHeight="1">
      <c r="A239" s="11"/>
    </row>
    <row r="240" spans="1:1" ht="15" customHeight="1">
      <c r="A240" s="11"/>
    </row>
    <row r="241" spans="1:1" ht="15" customHeight="1">
      <c r="A241" s="11"/>
    </row>
    <row r="242" spans="1:1" ht="15" customHeight="1">
      <c r="A242" s="11"/>
    </row>
    <row r="243" spans="1:1" ht="15" customHeight="1">
      <c r="A243" s="11"/>
    </row>
    <row r="244" spans="1:1" ht="15" customHeight="1">
      <c r="A244" s="11"/>
    </row>
    <row r="245" spans="1:1" ht="15" customHeight="1">
      <c r="A245" s="11"/>
    </row>
    <row r="246" spans="1:1" ht="15" customHeight="1">
      <c r="A246" s="11"/>
    </row>
    <row r="247" spans="1:1" ht="15" customHeight="1">
      <c r="A247" s="11"/>
    </row>
    <row r="248" spans="1:1" ht="15" customHeight="1">
      <c r="A248" s="11"/>
    </row>
    <row r="249" spans="1:1" ht="15" customHeight="1">
      <c r="A249" s="11"/>
    </row>
    <row r="250" spans="1:1" ht="15" customHeight="1">
      <c r="A250" s="11"/>
    </row>
    <row r="251" spans="1:1" ht="15" customHeight="1">
      <c r="A251" s="11"/>
    </row>
    <row r="252" spans="1:1" ht="15" customHeight="1">
      <c r="A252" s="11"/>
    </row>
    <row r="253" spans="1:1" ht="15" customHeight="1">
      <c r="A253" s="11"/>
    </row>
    <row r="254" spans="1:1" ht="15" customHeight="1">
      <c r="A254" s="11"/>
    </row>
    <row r="255" spans="1:1" ht="15" customHeight="1">
      <c r="A255" s="11"/>
    </row>
    <row r="256" spans="1:1" ht="15" customHeight="1">
      <c r="A256" s="11"/>
    </row>
    <row r="257" spans="1:1" ht="15" customHeight="1">
      <c r="A257" s="11"/>
    </row>
    <row r="258" spans="1:1" ht="15" customHeight="1">
      <c r="A258" s="11"/>
    </row>
    <row r="259" spans="1:1" ht="15" customHeight="1">
      <c r="A259" s="11"/>
    </row>
    <row r="260" spans="1:1" ht="15" customHeight="1">
      <c r="A260" s="11"/>
    </row>
    <row r="261" spans="1:1" ht="15" customHeight="1">
      <c r="A261" s="11"/>
    </row>
    <row r="262" spans="1:1" ht="15" customHeight="1">
      <c r="A262" s="11"/>
    </row>
    <row r="263" spans="1:1" ht="15" customHeight="1">
      <c r="A263" s="11"/>
    </row>
    <row r="264" spans="1:1" ht="15" customHeight="1">
      <c r="A264" s="11"/>
    </row>
    <row r="265" spans="1:1" ht="15" customHeight="1">
      <c r="A265" s="11"/>
    </row>
    <row r="266" spans="1:1" ht="15" customHeight="1">
      <c r="A266" s="11"/>
    </row>
    <row r="267" spans="1:1" ht="15" customHeight="1">
      <c r="A267" s="11"/>
    </row>
    <row r="268" spans="1:1" ht="15" customHeight="1">
      <c r="A268" s="11"/>
    </row>
    <row r="269" spans="1:1" ht="15" customHeight="1">
      <c r="A269" s="11"/>
    </row>
    <row r="270" spans="1:1" ht="15" customHeight="1">
      <c r="A270" s="11"/>
    </row>
    <row r="271" spans="1:1" ht="15" customHeight="1">
      <c r="A271" s="11"/>
    </row>
    <row r="272" spans="1:1" ht="15" customHeight="1">
      <c r="A272" s="11"/>
    </row>
    <row r="273" spans="1:1" ht="15" customHeight="1">
      <c r="A273" s="11"/>
    </row>
    <row r="274" spans="1:1" ht="15" customHeight="1">
      <c r="A274" s="11"/>
    </row>
    <row r="275" spans="1:1" ht="15" customHeight="1">
      <c r="A275" s="11"/>
    </row>
    <row r="276" spans="1:1" ht="15" customHeight="1">
      <c r="A276" s="11"/>
    </row>
    <row r="277" spans="1:1" ht="15" customHeight="1">
      <c r="A277" s="11"/>
    </row>
    <row r="278" spans="1:1" ht="15" customHeight="1">
      <c r="A278" s="11"/>
    </row>
    <row r="279" spans="1:1" ht="15" customHeight="1">
      <c r="A279" s="11"/>
    </row>
    <row r="280" spans="1:1" ht="15" customHeight="1">
      <c r="A280" s="11"/>
    </row>
    <row r="281" spans="1:1" ht="15" customHeight="1">
      <c r="A281" s="11"/>
    </row>
    <row r="282" spans="1:1" ht="15" customHeight="1">
      <c r="A282" s="11"/>
    </row>
    <row r="283" spans="1:1" ht="15" customHeight="1">
      <c r="A283" s="11"/>
    </row>
    <row r="284" spans="1:1" ht="15" customHeight="1">
      <c r="A284" s="11"/>
    </row>
    <row r="285" spans="1:1" ht="15" customHeight="1">
      <c r="A285" s="11"/>
    </row>
    <row r="286" spans="1:1" ht="15" customHeight="1">
      <c r="A286" s="11"/>
    </row>
    <row r="287" spans="1:1" ht="15" customHeight="1">
      <c r="A287" s="11"/>
    </row>
    <row r="288" spans="1:1" ht="15" customHeight="1">
      <c r="A288" s="11"/>
    </row>
    <row r="289" spans="1:1" ht="15" customHeight="1">
      <c r="A289" s="11"/>
    </row>
    <row r="290" spans="1:1" ht="15" customHeight="1">
      <c r="A290" s="11"/>
    </row>
    <row r="291" spans="1:1" ht="15" customHeight="1">
      <c r="A291" s="11"/>
    </row>
    <row r="292" spans="1:1" ht="15" customHeight="1">
      <c r="A292" s="11"/>
    </row>
    <row r="293" spans="1:1" ht="15" customHeight="1">
      <c r="A293" s="11"/>
    </row>
    <row r="294" spans="1:1" ht="15" customHeight="1">
      <c r="A294" s="11"/>
    </row>
    <row r="295" spans="1:1" ht="15" customHeight="1">
      <c r="A295" s="11"/>
    </row>
    <row r="296" spans="1:1" ht="15" customHeight="1">
      <c r="A296" s="11"/>
    </row>
    <row r="297" spans="1:1" ht="15" customHeight="1">
      <c r="A297" s="11"/>
    </row>
    <row r="298" spans="1:1" ht="15" customHeight="1">
      <c r="A298" s="11"/>
    </row>
    <row r="299" spans="1:1" ht="15" customHeight="1">
      <c r="A299" s="11"/>
    </row>
    <row r="300" spans="1:1" ht="15" customHeight="1">
      <c r="A300" s="11"/>
    </row>
    <row r="301" spans="1:1" ht="15" customHeight="1">
      <c r="A301" s="11"/>
    </row>
    <row r="302" spans="1:1" ht="15" customHeight="1">
      <c r="A302" s="11"/>
    </row>
    <row r="303" spans="1:1" ht="15" customHeight="1">
      <c r="A303" s="11"/>
    </row>
    <row r="304" spans="1:1" ht="15" customHeight="1">
      <c r="A304" s="11"/>
    </row>
    <row r="305" spans="1:1" ht="15" customHeight="1">
      <c r="A305" s="11"/>
    </row>
    <row r="306" spans="1:1" ht="15" customHeight="1">
      <c r="A306" s="11"/>
    </row>
    <row r="307" spans="1:1" ht="15" customHeight="1">
      <c r="A307" s="11"/>
    </row>
    <row r="308" spans="1:1" ht="15" customHeight="1">
      <c r="A308" s="11"/>
    </row>
    <row r="309" spans="1:1" ht="15" customHeight="1">
      <c r="A309" s="11"/>
    </row>
    <row r="310" spans="1:1" ht="15" customHeight="1">
      <c r="A310" s="11"/>
    </row>
    <row r="311" spans="1:1" ht="15" customHeight="1">
      <c r="A311" s="11"/>
    </row>
    <row r="312" spans="1:1" ht="15" customHeight="1">
      <c r="A312" s="11"/>
    </row>
    <row r="313" spans="1:1" ht="15" customHeight="1">
      <c r="A313" s="11"/>
    </row>
    <row r="314" spans="1:1" ht="15" customHeight="1">
      <c r="A314" s="11"/>
    </row>
    <row r="315" spans="1:1" ht="15" customHeight="1">
      <c r="A315" s="11"/>
    </row>
    <row r="316" spans="1:1" ht="15" customHeight="1">
      <c r="A316" s="11"/>
    </row>
    <row r="317" spans="1:1" ht="15" customHeight="1">
      <c r="A317" s="11"/>
    </row>
    <row r="318" spans="1:1" ht="15" customHeight="1">
      <c r="A318" s="11"/>
    </row>
    <row r="319" spans="1:1" ht="15" customHeight="1">
      <c r="A319" s="11"/>
    </row>
    <row r="320" spans="1:1" ht="15" customHeight="1">
      <c r="A320" s="11"/>
    </row>
    <row r="321" spans="1:1" ht="15" customHeight="1">
      <c r="A321" s="11"/>
    </row>
    <row r="322" spans="1:1" ht="15" customHeight="1">
      <c r="A322" s="11"/>
    </row>
    <row r="323" spans="1:1" ht="15" customHeight="1">
      <c r="A323" s="11"/>
    </row>
    <row r="324" spans="1:1" ht="15" customHeight="1">
      <c r="A324" s="11"/>
    </row>
    <row r="325" spans="1:1" ht="15" customHeight="1">
      <c r="A325" s="11"/>
    </row>
    <row r="326" spans="1:1" ht="15" customHeight="1">
      <c r="A326" s="11"/>
    </row>
    <row r="327" spans="1:1" ht="15" customHeight="1">
      <c r="A327" s="11"/>
    </row>
    <row r="328" spans="1:1" ht="15" customHeight="1">
      <c r="A328" s="11"/>
    </row>
    <row r="329" spans="1:1" ht="15" customHeight="1">
      <c r="A329" s="11"/>
    </row>
    <row r="330" spans="1:1" ht="15" customHeight="1">
      <c r="A330" s="11"/>
    </row>
    <row r="331" spans="1:1" ht="15" customHeight="1">
      <c r="A331" s="11"/>
    </row>
    <row r="332" spans="1:1" ht="15" customHeight="1">
      <c r="A332" s="11"/>
    </row>
    <row r="333" spans="1:1" ht="15" customHeight="1">
      <c r="A333" s="11"/>
    </row>
    <row r="334" spans="1:1" ht="15" customHeight="1">
      <c r="A334" s="11"/>
    </row>
    <row r="335" spans="1:1" ht="15" customHeight="1">
      <c r="A335" s="11"/>
    </row>
    <row r="336" spans="1:1" ht="15" customHeight="1">
      <c r="A336" s="11"/>
    </row>
    <row r="337" spans="1:1" ht="15" customHeight="1">
      <c r="A337" s="11"/>
    </row>
    <row r="338" spans="1:1" ht="15" customHeight="1">
      <c r="A338" s="11"/>
    </row>
    <row r="339" spans="1:1" ht="15" customHeight="1">
      <c r="A339" s="11"/>
    </row>
    <row r="340" spans="1:1" ht="15" customHeight="1">
      <c r="A340" s="11"/>
    </row>
    <row r="341" spans="1:1" ht="15" customHeight="1">
      <c r="A341" s="11"/>
    </row>
    <row r="342" spans="1:1" ht="15" customHeight="1">
      <c r="A342" s="11"/>
    </row>
    <row r="343" spans="1:1" ht="15" customHeight="1">
      <c r="A343" s="11"/>
    </row>
    <row r="344" spans="1:1" ht="15" customHeight="1">
      <c r="A344" s="11"/>
    </row>
    <row r="345" spans="1:1" ht="15" customHeight="1">
      <c r="A345" s="11"/>
    </row>
    <row r="346" spans="1:1" ht="15" customHeight="1">
      <c r="A346" s="11"/>
    </row>
    <row r="347" spans="1:1" ht="15" customHeight="1">
      <c r="A347" s="11"/>
    </row>
    <row r="348" spans="1:1" ht="15" customHeight="1">
      <c r="A348" s="11"/>
    </row>
    <row r="349" spans="1:1" ht="15" customHeight="1">
      <c r="A349" s="11"/>
    </row>
    <row r="350" spans="1:1" ht="15" customHeight="1">
      <c r="A350" s="11"/>
    </row>
    <row r="351" spans="1:1" ht="15" customHeight="1">
      <c r="A351" s="11"/>
    </row>
    <row r="352" spans="1:1" ht="15" customHeight="1">
      <c r="A352" s="11"/>
    </row>
    <row r="353" spans="1:1" ht="15" customHeight="1">
      <c r="A353" s="11"/>
    </row>
    <row r="354" spans="1:1" ht="15" customHeight="1">
      <c r="A354" s="11"/>
    </row>
    <row r="355" spans="1:1" ht="15" customHeight="1">
      <c r="A355" s="11"/>
    </row>
    <row r="356" spans="1:1" ht="15" customHeight="1">
      <c r="A356" s="11"/>
    </row>
    <row r="357" spans="1:1" ht="15" customHeight="1">
      <c r="A357" s="11"/>
    </row>
    <row r="358" spans="1:1" ht="15" customHeight="1">
      <c r="A358" s="11"/>
    </row>
    <row r="359" spans="1:1" ht="15" customHeight="1">
      <c r="A359" s="11"/>
    </row>
    <row r="360" spans="1:1" ht="15" customHeight="1">
      <c r="A360" s="11"/>
    </row>
    <row r="361" spans="1:1" ht="15" customHeight="1">
      <c r="A361" s="11"/>
    </row>
    <row r="362" spans="1:1" ht="15" customHeight="1">
      <c r="A362" s="11"/>
    </row>
    <row r="363" spans="1:1" ht="15" customHeight="1">
      <c r="A363" s="11"/>
    </row>
    <row r="364" spans="1:1" ht="15" customHeight="1">
      <c r="A364" s="11"/>
    </row>
    <row r="365" spans="1:1" ht="15" customHeight="1">
      <c r="A365" s="11"/>
    </row>
    <row r="366" spans="1:1" ht="15" customHeight="1">
      <c r="A366" s="11"/>
    </row>
    <row r="367" spans="1:1" ht="15" customHeight="1">
      <c r="A367" s="11"/>
    </row>
    <row r="368" spans="1:1" ht="15" customHeight="1">
      <c r="A368" s="11"/>
    </row>
    <row r="369" spans="1:1" ht="15" customHeight="1">
      <c r="A369" s="11"/>
    </row>
    <row r="370" spans="1:1" ht="15" customHeight="1">
      <c r="A370" s="11"/>
    </row>
    <row r="371" spans="1:1" ht="15" customHeight="1">
      <c r="A371" s="11"/>
    </row>
    <row r="372" spans="1:1" ht="15" customHeight="1">
      <c r="A372" s="11"/>
    </row>
    <row r="373" spans="1:1" ht="15" customHeight="1">
      <c r="A373" s="11"/>
    </row>
    <row r="374" spans="1:1" ht="15" customHeight="1">
      <c r="A374" s="11"/>
    </row>
    <row r="375" spans="1:1" ht="15" customHeight="1">
      <c r="A375" s="11"/>
    </row>
    <row r="376" spans="1:1" ht="15" customHeight="1">
      <c r="A376" s="11"/>
    </row>
    <row r="377" spans="1:1" ht="15" customHeight="1">
      <c r="A377" s="11"/>
    </row>
    <row r="378" spans="1:1" ht="15" customHeight="1">
      <c r="A378" s="11"/>
    </row>
    <row r="379" spans="1:1" ht="15" customHeight="1">
      <c r="A379" s="11"/>
    </row>
    <row r="380" spans="1:1" ht="15" customHeight="1">
      <c r="A380" s="11"/>
    </row>
    <row r="381" spans="1:1" ht="15" customHeight="1">
      <c r="A381" s="11"/>
    </row>
    <row r="382" spans="1:1" ht="15" customHeight="1">
      <c r="A382" s="11"/>
    </row>
    <row r="383" spans="1:1" ht="15" customHeight="1">
      <c r="A383" s="11"/>
    </row>
    <row r="384" spans="1:1" ht="15" customHeight="1">
      <c r="A384" s="11"/>
    </row>
    <row r="385" spans="1:1" ht="15" customHeight="1">
      <c r="A385" s="11"/>
    </row>
    <row r="386" spans="1:1" ht="15" customHeight="1">
      <c r="A386" s="11"/>
    </row>
    <row r="387" spans="1:1" ht="15" customHeight="1">
      <c r="A387" s="11"/>
    </row>
    <row r="388" spans="1:1" ht="15" customHeight="1">
      <c r="A388" s="11"/>
    </row>
    <row r="389" spans="1:1" ht="15" customHeight="1">
      <c r="A389" s="11"/>
    </row>
    <row r="390" spans="1:1" ht="15" customHeight="1">
      <c r="A390" s="11"/>
    </row>
    <row r="391" spans="1:1" ht="15" customHeight="1">
      <c r="A391" s="11"/>
    </row>
    <row r="392" spans="1:1" ht="15" customHeight="1">
      <c r="A392" s="11"/>
    </row>
    <row r="393" spans="1:1" ht="15" customHeight="1">
      <c r="A393" s="11"/>
    </row>
    <row r="394" spans="1:1" ht="15" customHeight="1">
      <c r="A394" s="11"/>
    </row>
    <row r="395" spans="1:1" ht="15" customHeight="1">
      <c r="A395" s="11"/>
    </row>
    <row r="396" spans="1:1" ht="15" customHeight="1">
      <c r="A396" s="11"/>
    </row>
    <row r="397" spans="1:1" ht="15" customHeight="1">
      <c r="A397" s="11"/>
    </row>
    <row r="398" spans="1:1" ht="15" customHeight="1">
      <c r="A398" s="11"/>
    </row>
    <row r="399" spans="1:1" ht="15" customHeight="1">
      <c r="A399" s="11"/>
    </row>
    <row r="400" spans="1:1" ht="15" customHeight="1">
      <c r="A400" s="11"/>
    </row>
    <row r="401" spans="1:1" ht="15" customHeight="1">
      <c r="A401" s="11"/>
    </row>
    <row r="402" spans="1:1" ht="15" customHeight="1">
      <c r="A402" s="11"/>
    </row>
    <row r="403" spans="1:1" ht="15" customHeight="1">
      <c r="A403" s="11"/>
    </row>
    <row r="404" spans="1:1" ht="15" customHeight="1">
      <c r="A404" s="11"/>
    </row>
    <row r="405" spans="1:1" ht="15" customHeight="1">
      <c r="A405" s="11"/>
    </row>
    <row r="406" spans="1:1" ht="15" customHeight="1">
      <c r="A406" s="11"/>
    </row>
    <row r="407" spans="1:1" ht="15" customHeight="1">
      <c r="A407" s="11"/>
    </row>
    <row r="408" spans="1:1" ht="15" customHeight="1">
      <c r="A408" s="11"/>
    </row>
    <row r="409" spans="1:1" ht="15" customHeight="1">
      <c r="A409" s="11"/>
    </row>
    <row r="410" spans="1:1" ht="15" customHeight="1">
      <c r="A410" s="11"/>
    </row>
    <row r="411" spans="1:1" ht="15" customHeight="1">
      <c r="A411" s="11"/>
    </row>
    <row r="412" spans="1:1" ht="15" customHeight="1">
      <c r="A412" s="11"/>
    </row>
    <row r="413" spans="1:1" ht="15" customHeight="1">
      <c r="A413" s="11"/>
    </row>
    <row r="414" spans="1:1" ht="15" customHeight="1">
      <c r="A414" s="11"/>
    </row>
    <row r="415" spans="1:1" ht="15" customHeight="1">
      <c r="A415" s="11"/>
    </row>
    <row r="416" spans="1:1" ht="15" customHeight="1">
      <c r="A416" s="11"/>
    </row>
    <row r="417" spans="1:1" ht="15" customHeight="1">
      <c r="A417" s="11"/>
    </row>
    <row r="418" spans="1:1" ht="15" customHeight="1">
      <c r="A418" s="11"/>
    </row>
    <row r="419" spans="1:1" ht="15" customHeight="1">
      <c r="A419" s="11"/>
    </row>
    <row r="420" spans="1:1" ht="15" customHeight="1">
      <c r="A420" s="11"/>
    </row>
    <row r="421" spans="1:1" ht="15" customHeight="1">
      <c r="A421" s="11"/>
    </row>
    <row r="422" spans="1:1" ht="15" customHeight="1">
      <c r="A422" s="11"/>
    </row>
    <row r="423" spans="1:1" ht="15" customHeight="1">
      <c r="A423" s="11"/>
    </row>
    <row r="424" spans="1:1" ht="15" customHeight="1">
      <c r="A424" s="11"/>
    </row>
    <row r="425" spans="1:1" ht="15" customHeight="1">
      <c r="A425" s="11"/>
    </row>
    <row r="426" spans="1:1" ht="15" customHeight="1">
      <c r="A426" s="11"/>
    </row>
    <row r="427" spans="1:1" ht="15" customHeight="1">
      <c r="A427" s="11"/>
    </row>
    <row r="428" spans="1:1" ht="15" customHeight="1">
      <c r="A428" s="11"/>
    </row>
    <row r="429" spans="1:1" ht="15" customHeight="1">
      <c r="A429" s="11"/>
    </row>
    <row r="430" spans="1:1" ht="15" customHeight="1">
      <c r="A430" s="11"/>
    </row>
    <row r="431" spans="1:1" ht="15" customHeight="1">
      <c r="A431" s="11"/>
    </row>
    <row r="432" spans="1:1" ht="15" customHeight="1">
      <c r="A432" s="11"/>
    </row>
    <row r="433" spans="1:1" ht="15" customHeight="1">
      <c r="A433" s="11"/>
    </row>
    <row r="434" spans="1:1" ht="15" customHeight="1">
      <c r="A434" s="11"/>
    </row>
    <row r="435" spans="1:1" ht="15" customHeight="1">
      <c r="A435" s="11"/>
    </row>
    <row r="436" spans="1:1" ht="15" customHeight="1">
      <c r="A436" s="11"/>
    </row>
    <row r="437" spans="1:1" ht="15" customHeight="1">
      <c r="A437" s="11"/>
    </row>
    <row r="438" spans="1:1" ht="15" customHeight="1">
      <c r="A438" s="11"/>
    </row>
    <row r="439" spans="1:1" ht="15" customHeight="1">
      <c r="A439" s="11"/>
    </row>
    <row r="440" spans="1:1" ht="15" customHeight="1">
      <c r="A440" s="11"/>
    </row>
    <row r="441" spans="1:1" ht="15" customHeight="1">
      <c r="A441" s="11"/>
    </row>
    <row r="442" spans="1:1" ht="15" customHeight="1">
      <c r="A442" s="11"/>
    </row>
    <row r="443" spans="1:1" ht="15" customHeight="1">
      <c r="A443" s="11"/>
    </row>
    <row r="444" spans="1:1" ht="15" customHeight="1">
      <c r="A444" s="11"/>
    </row>
    <row r="445" spans="1:1" ht="15" customHeight="1">
      <c r="A445" s="11"/>
    </row>
    <row r="446" spans="1:1" ht="15" customHeight="1">
      <c r="A446" s="11"/>
    </row>
    <row r="447" spans="1:1" ht="15" customHeight="1">
      <c r="A447" s="11"/>
    </row>
    <row r="448" spans="1:1" ht="15" customHeight="1">
      <c r="A448" s="11"/>
    </row>
    <row r="449" spans="1:1" ht="15" customHeight="1">
      <c r="A449" s="11"/>
    </row>
    <row r="450" spans="1:1" ht="15" customHeight="1">
      <c r="A450" s="11"/>
    </row>
    <row r="451" spans="1:1" ht="15" customHeight="1">
      <c r="A451" s="11"/>
    </row>
    <row r="452" spans="1:1" ht="15" customHeight="1">
      <c r="A452" s="11"/>
    </row>
    <row r="453" spans="1:1" ht="15" customHeight="1">
      <c r="A453" s="11"/>
    </row>
    <row r="454" spans="1:1" ht="15" customHeight="1">
      <c r="A454" s="11"/>
    </row>
    <row r="455" spans="1:1" ht="15" customHeight="1">
      <c r="A455" s="11"/>
    </row>
    <row r="456" spans="1:1" ht="15" customHeight="1">
      <c r="A456" s="11"/>
    </row>
  </sheetData>
  <autoFilter ref="I1:I134">
    <filterColumn colId="0">
      <filters>
        <filter val="DVS"/>
        <filter val="YES"/>
      </filters>
    </filterColumn>
  </autoFilter>
  <phoneticPr fontId="11" type="noConversion"/>
  <pageMargins left="0.70866141732283472" right="0.70866141732283472" top="0.74803149606299213" bottom="0.74803149606299213" header="0" footer="0"/>
  <pageSetup paperSize="8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U446"/>
  <sheetViews>
    <sheetView topLeftCell="A58" zoomScale="85" zoomScaleNormal="85" workbookViewId="0">
      <selection activeCell="D86" sqref="D86"/>
    </sheetView>
  </sheetViews>
  <sheetFormatPr defaultRowHeight="14.4"/>
  <cols>
    <col min="1" max="1" width="13.77734375" style="74" customWidth="1"/>
    <col min="2" max="2" width="15.21875" customWidth="1"/>
    <col min="3" max="3" width="12.77734375" style="74" customWidth="1"/>
    <col min="4" max="4" width="57.109375" style="159" customWidth="1"/>
    <col min="5" max="5" width="12.109375" customWidth="1"/>
  </cols>
  <sheetData>
    <row r="1" spans="1:17" ht="14.25" customHeight="1">
      <c r="B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  <c r="P1" s="32"/>
      <c r="Q1" s="25"/>
    </row>
    <row r="2" spans="1:17" ht="14.25" customHeight="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159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17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159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32"/>
      <c r="Q3" s="25"/>
    </row>
    <row r="4" spans="1:17">
      <c r="A4" s="75">
        <v>231</v>
      </c>
      <c r="B4" s="226" t="s">
        <v>783</v>
      </c>
      <c r="C4" s="214" t="s">
        <v>134</v>
      </c>
      <c r="D4" s="228" t="s">
        <v>1088</v>
      </c>
      <c r="E4" s="74">
        <v>22.2</v>
      </c>
      <c r="F4" s="24" t="s">
        <v>1192</v>
      </c>
      <c r="G4" s="22" t="s">
        <v>101</v>
      </c>
      <c r="H4" s="8" t="s">
        <v>219</v>
      </c>
      <c r="I4" s="54" t="s">
        <v>38</v>
      </c>
      <c r="J4" s="57" t="s">
        <v>1193</v>
      </c>
      <c r="K4" s="74"/>
      <c r="L4" s="74"/>
      <c r="M4" s="74"/>
      <c r="N4" s="74"/>
    </row>
    <row r="5" spans="1:17">
      <c r="A5" s="75">
        <v>231</v>
      </c>
      <c r="B5" s="226" t="s">
        <v>783</v>
      </c>
      <c r="C5" s="214" t="s">
        <v>135</v>
      </c>
      <c r="D5" s="228" t="s">
        <v>997</v>
      </c>
      <c r="E5" s="74">
        <v>9.4</v>
      </c>
      <c r="F5" s="226" t="s">
        <v>1223</v>
      </c>
      <c r="G5" s="226" t="s">
        <v>1224</v>
      </c>
      <c r="H5" s="226" t="s">
        <v>1222</v>
      </c>
      <c r="I5" s="74">
        <v>2700</v>
      </c>
      <c r="J5" s="226" t="s">
        <v>1225</v>
      </c>
      <c r="K5" s="74"/>
      <c r="L5" s="74"/>
      <c r="M5" s="74"/>
      <c r="N5" s="74"/>
    </row>
    <row r="6" spans="1:17">
      <c r="A6" s="75">
        <v>231</v>
      </c>
      <c r="B6" s="226" t="s">
        <v>783</v>
      </c>
      <c r="C6" s="214" t="s">
        <v>137</v>
      </c>
      <c r="D6" s="228" t="s">
        <v>1089</v>
      </c>
      <c r="E6" s="74">
        <v>16.7</v>
      </c>
      <c r="F6" s="226" t="s">
        <v>1226</v>
      </c>
      <c r="G6" s="226" t="s">
        <v>1227</v>
      </c>
      <c r="H6" s="226" t="s">
        <v>1228</v>
      </c>
      <c r="I6" s="54" t="s">
        <v>38</v>
      </c>
      <c r="J6" s="226" t="s">
        <v>1225</v>
      </c>
      <c r="K6" s="74"/>
      <c r="L6" s="74"/>
      <c r="M6" s="74"/>
      <c r="N6" s="74"/>
    </row>
    <row r="7" spans="1:17">
      <c r="A7" s="75">
        <v>231</v>
      </c>
      <c r="B7" s="226" t="s">
        <v>783</v>
      </c>
      <c r="C7" s="214" t="s">
        <v>138</v>
      </c>
      <c r="D7" s="228" t="s">
        <v>1090</v>
      </c>
      <c r="E7" s="74">
        <v>3</v>
      </c>
      <c r="F7" s="226" t="s">
        <v>1229</v>
      </c>
      <c r="G7" s="226" t="s">
        <v>1229</v>
      </c>
      <c r="H7" s="226" t="s">
        <v>1229</v>
      </c>
      <c r="I7" s="226" t="s">
        <v>1229</v>
      </c>
      <c r="J7" s="226" t="s">
        <v>1229</v>
      </c>
      <c r="K7" s="74"/>
      <c r="L7" s="74"/>
      <c r="M7" s="74"/>
      <c r="N7" s="74"/>
    </row>
    <row r="8" spans="1:17">
      <c r="A8" s="75">
        <v>231</v>
      </c>
      <c r="B8" s="226" t="s">
        <v>783</v>
      </c>
      <c r="C8" s="214">
        <v>106</v>
      </c>
      <c r="D8" s="228" t="s">
        <v>1091</v>
      </c>
      <c r="E8" s="74">
        <v>26.3</v>
      </c>
      <c r="F8" s="226" t="s">
        <v>1230</v>
      </c>
      <c r="G8" s="226" t="s">
        <v>1232</v>
      </c>
      <c r="H8" s="226" t="s">
        <v>1233</v>
      </c>
      <c r="I8" s="226">
        <v>2800</v>
      </c>
      <c r="J8" s="226" t="s">
        <v>1231</v>
      </c>
      <c r="K8" s="74"/>
      <c r="L8" s="74"/>
      <c r="M8" s="74"/>
      <c r="N8" s="74"/>
    </row>
    <row r="9" spans="1:17">
      <c r="A9" s="75">
        <v>231</v>
      </c>
      <c r="B9" s="226" t="s">
        <v>783</v>
      </c>
      <c r="C9" s="214" t="s">
        <v>140</v>
      </c>
      <c r="D9" s="228" t="s">
        <v>1092</v>
      </c>
      <c r="E9" s="74">
        <v>4.2</v>
      </c>
      <c r="F9" s="226" t="s">
        <v>1230</v>
      </c>
      <c r="G9" s="226" t="s">
        <v>1232</v>
      </c>
      <c r="H9" s="226" t="s">
        <v>1233</v>
      </c>
      <c r="I9" s="226">
        <v>2800</v>
      </c>
      <c r="J9" s="226" t="s">
        <v>1231</v>
      </c>
      <c r="K9" s="74"/>
      <c r="L9" s="74"/>
      <c r="M9" s="74"/>
      <c r="N9" s="74"/>
    </row>
    <row r="10" spans="1:17">
      <c r="A10" s="75">
        <v>231</v>
      </c>
      <c r="B10" s="226" t="s">
        <v>783</v>
      </c>
      <c r="C10" s="214" t="s">
        <v>142</v>
      </c>
      <c r="D10" s="228" t="s">
        <v>1093</v>
      </c>
      <c r="E10" s="74">
        <v>6.5</v>
      </c>
      <c r="F10" s="226" t="s">
        <v>1230</v>
      </c>
      <c r="G10" s="226" t="s">
        <v>1232</v>
      </c>
      <c r="H10" s="226" t="s">
        <v>1233</v>
      </c>
      <c r="I10" s="226">
        <v>2800</v>
      </c>
      <c r="J10" s="226" t="s">
        <v>1231</v>
      </c>
      <c r="K10" s="74"/>
      <c r="L10" s="74"/>
      <c r="M10" s="74"/>
      <c r="N10" s="74"/>
    </row>
    <row r="11" spans="1:17">
      <c r="A11" s="75">
        <v>231</v>
      </c>
      <c r="B11" s="226" t="s">
        <v>783</v>
      </c>
      <c r="C11" s="214" t="s">
        <v>1094</v>
      </c>
      <c r="D11" s="228" t="s">
        <v>1095</v>
      </c>
      <c r="E11" s="74">
        <v>12</v>
      </c>
      <c r="F11" s="226" t="s">
        <v>1230</v>
      </c>
      <c r="G11" s="226" t="s">
        <v>1232</v>
      </c>
      <c r="H11" s="226" t="s">
        <v>1233</v>
      </c>
      <c r="I11" s="226">
        <v>2800</v>
      </c>
      <c r="J11" s="226" t="s">
        <v>1231</v>
      </c>
      <c r="K11" s="74"/>
      <c r="L11" s="74"/>
      <c r="M11" s="74"/>
      <c r="N11" s="74"/>
    </row>
    <row r="12" spans="1:17">
      <c r="A12" s="75">
        <v>231</v>
      </c>
      <c r="B12" s="226" t="s">
        <v>783</v>
      </c>
      <c r="C12" s="214" t="s">
        <v>906</v>
      </c>
      <c r="D12" s="228" t="s">
        <v>1096</v>
      </c>
      <c r="E12" s="74">
        <v>36</v>
      </c>
      <c r="F12" s="226" t="s">
        <v>1230</v>
      </c>
      <c r="G12" s="226" t="s">
        <v>1234</v>
      </c>
      <c r="H12" s="226" t="s">
        <v>1217</v>
      </c>
      <c r="I12" s="226" t="s">
        <v>1229</v>
      </c>
      <c r="J12" s="226" t="s">
        <v>1231</v>
      </c>
      <c r="K12" s="74"/>
      <c r="L12" s="74"/>
      <c r="M12" s="74"/>
      <c r="N12" s="74"/>
    </row>
    <row r="13" spans="1:17">
      <c r="A13" s="75">
        <v>231</v>
      </c>
      <c r="B13" s="226" t="s">
        <v>783</v>
      </c>
      <c r="C13" s="214" t="s">
        <v>907</v>
      </c>
      <c r="D13" s="282" t="s">
        <v>1316</v>
      </c>
      <c r="E13" s="74">
        <v>22.3</v>
      </c>
      <c r="F13" s="226" t="s">
        <v>1230</v>
      </c>
      <c r="G13" s="226" t="s">
        <v>1216</v>
      </c>
      <c r="H13" s="226" t="s">
        <v>1217</v>
      </c>
      <c r="I13" s="226" t="s">
        <v>1229</v>
      </c>
      <c r="J13" s="226" t="s">
        <v>1231</v>
      </c>
      <c r="K13" s="74"/>
      <c r="L13" s="74"/>
      <c r="M13" s="74"/>
      <c r="N13" s="74"/>
    </row>
    <row r="14" spans="1:17">
      <c r="A14" s="75">
        <v>231</v>
      </c>
      <c r="B14" s="226" t="s">
        <v>783</v>
      </c>
      <c r="C14" s="214" t="s">
        <v>1097</v>
      </c>
      <c r="D14" s="228" t="s">
        <v>1098</v>
      </c>
      <c r="E14" s="74">
        <v>23.6</v>
      </c>
      <c r="F14" s="24" t="s">
        <v>1192</v>
      </c>
      <c r="G14" s="22" t="s">
        <v>101</v>
      </c>
      <c r="H14" s="8" t="s">
        <v>219</v>
      </c>
      <c r="I14" s="54" t="s">
        <v>38</v>
      </c>
      <c r="J14" s="57" t="s">
        <v>1193</v>
      </c>
      <c r="K14" s="74"/>
      <c r="L14" s="74"/>
      <c r="M14" s="74"/>
      <c r="N14" s="74"/>
    </row>
    <row r="15" spans="1:17">
      <c r="A15" s="75">
        <v>231</v>
      </c>
      <c r="B15" s="226" t="s">
        <v>783</v>
      </c>
      <c r="C15" s="214" t="s">
        <v>1099</v>
      </c>
      <c r="D15" s="228" t="s">
        <v>1100</v>
      </c>
      <c r="E15" s="74">
        <v>6.8</v>
      </c>
      <c r="F15" s="226" t="s">
        <v>1226</v>
      </c>
      <c r="G15" s="22" t="s">
        <v>101</v>
      </c>
      <c r="H15" s="226" t="s">
        <v>1218</v>
      </c>
      <c r="I15" s="226">
        <v>2800</v>
      </c>
      <c r="J15" s="226" t="s">
        <v>1225</v>
      </c>
      <c r="K15" s="74"/>
      <c r="L15" s="74"/>
      <c r="M15" s="74"/>
      <c r="N15" s="74"/>
    </row>
    <row r="16" spans="1:17">
      <c r="A16" s="75">
        <v>231</v>
      </c>
      <c r="B16" s="226" t="s">
        <v>783</v>
      </c>
      <c r="C16" s="214" t="s">
        <v>1101</v>
      </c>
      <c r="D16" s="229" t="s">
        <v>1102</v>
      </c>
      <c r="E16" s="74">
        <v>4.0999999999999996</v>
      </c>
      <c r="F16" s="226" t="s">
        <v>1223</v>
      </c>
      <c r="G16" s="226" t="s">
        <v>1235</v>
      </c>
      <c r="H16" s="226" t="s">
        <v>1222</v>
      </c>
      <c r="I16" s="226">
        <v>2700</v>
      </c>
      <c r="J16" s="54" t="s">
        <v>38</v>
      </c>
      <c r="K16" s="74"/>
      <c r="L16" s="74"/>
      <c r="M16" s="74"/>
      <c r="N16" s="74"/>
    </row>
    <row r="17" spans="1:14">
      <c r="A17" s="293">
        <v>231</v>
      </c>
      <c r="B17" s="314" t="s">
        <v>1162</v>
      </c>
      <c r="C17" s="315" t="s">
        <v>1103</v>
      </c>
      <c r="D17" s="316" t="s">
        <v>1317</v>
      </c>
      <c r="E17" s="314">
        <v>21.9</v>
      </c>
      <c r="F17" s="314" t="s">
        <v>112</v>
      </c>
      <c r="G17" s="314" t="s">
        <v>132</v>
      </c>
      <c r="H17" s="314" t="s">
        <v>101</v>
      </c>
      <c r="I17" s="314">
        <v>2800</v>
      </c>
      <c r="J17" s="314" t="s">
        <v>132</v>
      </c>
      <c r="K17" s="74"/>
      <c r="L17" s="74"/>
      <c r="M17" s="74"/>
      <c r="N17" s="74"/>
    </row>
    <row r="18" spans="1:14">
      <c r="A18" s="75">
        <v>231</v>
      </c>
      <c r="B18" s="226" t="s">
        <v>783</v>
      </c>
      <c r="C18" s="214" t="s">
        <v>1104</v>
      </c>
      <c r="D18" s="228" t="s">
        <v>1105</v>
      </c>
      <c r="E18" s="74">
        <v>15.4</v>
      </c>
      <c r="F18" s="226" t="s">
        <v>1230</v>
      </c>
      <c r="G18" s="226" t="s">
        <v>1216</v>
      </c>
      <c r="H18" s="226" t="s">
        <v>1217</v>
      </c>
      <c r="I18" s="226">
        <v>3000</v>
      </c>
      <c r="J18" s="226" t="s">
        <v>1231</v>
      </c>
      <c r="K18" s="74"/>
      <c r="L18" s="74"/>
      <c r="M18" s="74"/>
      <c r="N18" s="74"/>
    </row>
    <row r="19" spans="1:14">
      <c r="A19" s="75">
        <v>231</v>
      </c>
      <c r="B19" s="226" t="s">
        <v>783</v>
      </c>
      <c r="C19" s="214" t="s">
        <v>1106</v>
      </c>
      <c r="D19" s="228" t="s">
        <v>1107</v>
      </c>
      <c r="E19" s="74">
        <v>15.4</v>
      </c>
      <c r="F19" s="226" t="s">
        <v>1230</v>
      </c>
      <c r="G19" s="226" t="s">
        <v>1216</v>
      </c>
      <c r="H19" s="226" t="s">
        <v>1217</v>
      </c>
      <c r="I19" s="226">
        <v>3000</v>
      </c>
      <c r="J19" s="226" t="s">
        <v>1231</v>
      </c>
      <c r="K19" s="74"/>
      <c r="L19" s="74"/>
      <c r="M19" s="74"/>
      <c r="N19" s="74"/>
    </row>
    <row r="20" spans="1:14">
      <c r="A20" s="75">
        <v>231</v>
      </c>
      <c r="B20" s="226" t="s">
        <v>783</v>
      </c>
      <c r="C20" s="214" t="s">
        <v>1108</v>
      </c>
      <c r="D20" s="228" t="s">
        <v>1105</v>
      </c>
      <c r="E20" s="74">
        <v>14.7</v>
      </c>
      <c r="F20" s="226" t="s">
        <v>1230</v>
      </c>
      <c r="G20" s="226" t="s">
        <v>1216</v>
      </c>
      <c r="H20" s="226" t="s">
        <v>1217</v>
      </c>
      <c r="I20" s="226">
        <v>3000</v>
      </c>
      <c r="J20" s="226" t="s">
        <v>1231</v>
      </c>
      <c r="K20" s="74"/>
      <c r="L20" s="74"/>
      <c r="M20" s="74"/>
      <c r="N20" s="74"/>
    </row>
    <row r="21" spans="1:14">
      <c r="A21" s="75">
        <v>231</v>
      </c>
      <c r="B21" s="226" t="s">
        <v>783</v>
      </c>
      <c r="C21" s="214" t="s">
        <v>1109</v>
      </c>
      <c r="D21" s="228" t="s">
        <v>1110</v>
      </c>
      <c r="E21" s="74">
        <v>14.1</v>
      </c>
      <c r="F21" s="226" t="s">
        <v>1230</v>
      </c>
      <c r="G21" s="226" t="s">
        <v>1216</v>
      </c>
      <c r="H21" s="226" t="s">
        <v>1237</v>
      </c>
      <c r="I21" s="226">
        <v>3000</v>
      </c>
      <c r="J21" s="226" t="s">
        <v>1231</v>
      </c>
      <c r="K21" s="74"/>
      <c r="L21" s="74"/>
      <c r="M21" s="74"/>
      <c r="N21" s="74"/>
    </row>
    <row r="22" spans="1:14">
      <c r="A22" s="75">
        <v>231</v>
      </c>
      <c r="B22" s="226" t="s">
        <v>783</v>
      </c>
      <c r="C22" s="214">
        <v>125</v>
      </c>
      <c r="D22" s="230" t="s">
        <v>919</v>
      </c>
      <c r="E22" s="74">
        <v>1089.3</v>
      </c>
      <c r="F22" s="226"/>
      <c r="G22" s="226"/>
      <c r="H22" s="226"/>
      <c r="I22" s="226"/>
      <c r="J22" s="226"/>
      <c r="K22" s="74"/>
      <c r="L22" s="74"/>
      <c r="M22" s="74"/>
      <c r="N22" s="74"/>
    </row>
    <row r="23" spans="1:14">
      <c r="A23" s="75">
        <v>231</v>
      </c>
      <c r="B23" s="226" t="s">
        <v>783</v>
      </c>
      <c r="C23" s="214" t="s">
        <v>165</v>
      </c>
      <c r="D23" s="230" t="s">
        <v>919</v>
      </c>
      <c r="E23" s="74">
        <v>1071.2</v>
      </c>
      <c r="F23" s="226"/>
      <c r="G23" s="226"/>
      <c r="H23" s="226"/>
      <c r="I23" s="226"/>
      <c r="J23" s="226"/>
      <c r="K23" s="74"/>
      <c r="L23" s="74"/>
      <c r="M23" s="74"/>
      <c r="N23" s="74"/>
    </row>
    <row r="24" spans="1:14">
      <c r="A24" s="75">
        <v>231</v>
      </c>
      <c r="B24" s="226" t="s">
        <v>783</v>
      </c>
      <c r="C24" s="214" t="s">
        <v>166</v>
      </c>
      <c r="D24" s="228" t="s">
        <v>1111</v>
      </c>
      <c r="E24" s="74">
        <v>1088.0999999999999</v>
      </c>
      <c r="F24" s="226" t="s">
        <v>1230</v>
      </c>
      <c r="G24" s="226" t="s">
        <v>1238</v>
      </c>
      <c r="H24" s="226" t="s">
        <v>1217</v>
      </c>
      <c r="I24" s="226" t="s">
        <v>1229</v>
      </c>
      <c r="J24" s="226" t="s">
        <v>1231</v>
      </c>
      <c r="K24" s="74"/>
      <c r="L24" s="74"/>
      <c r="M24" s="74"/>
      <c r="N24" s="74"/>
    </row>
    <row r="25" spans="1:14">
      <c r="A25" s="75">
        <v>231</v>
      </c>
      <c r="B25" s="226" t="s">
        <v>783</v>
      </c>
      <c r="C25" s="214" t="s">
        <v>1112</v>
      </c>
      <c r="D25" s="228" t="s">
        <v>1113</v>
      </c>
      <c r="E25" s="74">
        <v>841</v>
      </c>
      <c r="F25" s="226" t="s">
        <v>1230</v>
      </c>
      <c r="G25" s="226" t="s">
        <v>1216</v>
      </c>
      <c r="H25" s="226" t="s">
        <v>1217</v>
      </c>
      <c r="I25" s="226" t="s">
        <v>1229</v>
      </c>
      <c r="J25" s="226" t="s">
        <v>1231</v>
      </c>
      <c r="K25" s="74"/>
      <c r="L25" s="74"/>
      <c r="M25" s="74"/>
      <c r="N25" s="74"/>
    </row>
    <row r="26" spans="1:14">
      <c r="A26" s="75">
        <v>231</v>
      </c>
      <c r="B26" s="226" t="s">
        <v>783</v>
      </c>
      <c r="C26" s="214" t="s">
        <v>1114</v>
      </c>
      <c r="D26" s="228" t="s">
        <v>1115</v>
      </c>
      <c r="E26" s="74">
        <v>27.9</v>
      </c>
      <c r="F26" s="24" t="s">
        <v>1192</v>
      </c>
      <c r="G26" s="22" t="s">
        <v>1188</v>
      </c>
      <c r="H26" s="8" t="s">
        <v>932</v>
      </c>
      <c r="I26" s="54" t="s">
        <v>38</v>
      </c>
      <c r="J26" s="57" t="s">
        <v>1193</v>
      </c>
      <c r="K26" s="74"/>
      <c r="L26" s="74"/>
      <c r="M26" s="74"/>
      <c r="N26" s="74"/>
    </row>
    <row r="27" spans="1:14">
      <c r="A27" s="75">
        <v>231</v>
      </c>
      <c r="B27" s="226" t="s">
        <v>783</v>
      </c>
      <c r="C27" s="214" t="s">
        <v>1116</v>
      </c>
      <c r="D27" s="228" t="s">
        <v>1117</v>
      </c>
      <c r="E27" s="74">
        <v>19.5</v>
      </c>
      <c r="F27" s="226" t="s">
        <v>1230</v>
      </c>
      <c r="G27" s="226" t="s">
        <v>1216</v>
      </c>
      <c r="H27" s="226" t="s">
        <v>1217</v>
      </c>
      <c r="I27" s="226" t="s">
        <v>1229</v>
      </c>
      <c r="J27" s="226" t="s">
        <v>1231</v>
      </c>
      <c r="K27" s="74"/>
      <c r="L27" s="74"/>
      <c r="M27" s="74"/>
      <c r="N27" s="74"/>
    </row>
    <row r="28" spans="1:14">
      <c r="A28" s="75">
        <v>231</v>
      </c>
      <c r="B28" s="226" t="s">
        <v>783</v>
      </c>
      <c r="C28" s="214">
        <v>131</v>
      </c>
      <c r="D28" s="231" t="s">
        <v>1118</v>
      </c>
      <c r="E28" s="74">
        <v>9.6</v>
      </c>
      <c r="F28" s="226" t="s">
        <v>1230</v>
      </c>
      <c r="G28" s="226" t="s">
        <v>1216</v>
      </c>
      <c r="H28" s="226" t="s">
        <v>1217</v>
      </c>
      <c r="I28" s="226" t="s">
        <v>1229</v>
      </c>
      <c r="J28" s="226" t="s">
        <v>1231</v>
      </c>
      <c r="K28" s="74"/>
      <c r="L28" s="74"/>
      <c r="M28" s="74"/>
      <c r="N28" s="74"/>
    </row>
    <row r="29" spans="1:14">
      <c r="A29" s="75">
        <v>231</v>
      </c>
      <c r="B29" s="226" t="s">
        <v>783</v>
      </c>
      <c r="C29" s="214" t="s">
        <v>1119</v>
      </c>
      <c r="D29" s="228" t="s">
        <v>1120</v>
      </c>
      <c r="E29" s="74">
        <v>27.9</v>
      </c>
      <c r="F29" s="24" t="s">
        <v>1192</v>
      </c>
      <c r="G29" s="22" t="s">
        <v>101</v>
      </c>
      <c r="H29" s="8" t="s">
        <v>219</v>
      </c>
      <c r="I29" s="54" t="s">
        <v>38</v>
      </c>
      <c r="J29" s="57" t="s">
        <v>1193</v>
      </c>
      <c r="K29" s="74"/>
      <c r="L29" s="74"/>
      <c r="M29" s="74"/>
      <c r="N29" s="74"/>
    </row>
    <row r="30" spans="1:14">
      <c r="A30" s="75">
        <v>231</v>
      </c>
      <c r="B30" s="226" t="s">
        <v>783</v>
      </c>
      <c r="C30" s="214" t="s">
        <v>1121</v>
      </c>
      <c r="D30" s="231" t="s">
        <v>934</v>
      </c>
      <c r="E30" s="74">
        <v>79.3</v>
      </c>
      <c r="F30" s="226" t="s">
        <v>1230</v>
      </c>
      <c r="G30" s="226" t="s">
        <v>1239</v>
      </c>
      <c r="H30" s="226" t="s">
        <v>1217</v>
      </c>
      <c r="I30" s="226" t="s">
        <v>1229</v>
      </c>
      <c r="J30" s="226" t="s">
        <v>1231</v>
      </c>
      <c r="K30" s="74"/>
      <c r="L30" s="74"/>
      <c r="M30" s="74"/>
      <c r="N30" s="74"/>
    </row>
    <row r="31" spans="1:14">
      <c r="A31" s="75">
        <v>231</v>
      </c>
      <c r="B31" s="226" t="s">
        <v>783</v>
      </c>
      <c r="C31" s="215">
        <v>135</v>
      </c>
      <c r="D31" s="232" t="s">
        <v>1125</v>
      </c>
      <c r="E31" s="74">
        <v>7.8</v>
      </c>
      <c r="F31" s="226" t="s">
        <v>1229</v>
      </c>
      <c r="G31" s="226" t="s">
        <v>1229</v>
      </c>
      <c r="H31" s="226" t="s">
        <v>1229</v>
      </c>
      <c r="I31" s="226" t="s">
        <v>1229</v>
      </c>
      <c r="J31" s="226" t="s">
        <v>1229</v>
      </c>
      <c r="K31" s="74"/>
      <c r="L31" s="74"/>
      <c r="M31" s="74"/>
      <c r="N31" s="74"/>
    </row>
    <row r="32" spans="1:14">
      <c r="A32" s="75">
        <v>231</v>
      </c>
      <c r="B32" s="226" t="s">
        <v>783</v>
      </c>
      <c r="C32" s="33">
        <v>136</v>
      </c>
      <c r="D32" s="232" t="s">
        <v>1126</v>
      </c>
      <c r="E32" s="74">
        <v>10.5</v>
      </c>
      <c r="F32" s="226" t="s">
        <v>1229</v>
      </c>
      <c r="G32" s="226" t="s">
        <v>1229</v>
      </c>
      <c r="H32" s="226" t="s">
        <v>1229</v>
      </c>
      <c r="I32" s="226" t="s">
        <v>1229</v>
      </c>
      <c r="J32" s="226" t="s">
        <v>1229</v>
      </c>
      <c r="K32" s="74"/>
      <c r="L32" s="74"/>
      <c r="M32" s="74"/>
      <c r="N32" s="74"/>
    </row>
    <row r="33" spans="1:21">
      <c r="A33" s="75">
        <v>231</v>
      </c>
      <c r="B33" s="226" t="s">
        <v>783</v>
      </c>
      <c r="C33" s="214" t="s">
        <v>169</v>
      </c>
      <c r="D33" s="233" t="s">
        <v>1318</v>
      </c>
      <c r="E33" s="74">
        <v>20.5</v>
      </c>
      <c r="F33" s="226" t="s">
        <v>1230</v>
      </c>
      <c r="G33" s="226" t="s">
        <v>1239</v>
      </c>
      <c r="H33" s="226" t="s">
        <v>1217</v>
      </c>
      <c r="I33" s="226" t="s">
        <v>1229</v>
      </c>
      <c r="J33" s="226" t="s">
        <v>1231</v>
      </c>
      <c r="K33" s="74"/>
      <c r="L33" s="74"/>
      <c r="M33" s="74"/>
      <c r="N33" s="74"/>
    </row>
    <row r="34" spans="1:21">
      <c r="A34" s="75">
        <v>231</v>
      </c>
      <c r="B34" s="226" t="s">
        <v>783</v>
      </c>
      <c r="C34" s="214" t="s">
        <v>1122</v>
      </c>
      <c r="D34" s="228" t="s">
        <v>1123</v>
      </c>
      <c r="E34" s="74">
        <v>857.7</v>
      </c>
      <c r="F34" s="226" t="s">
        <v>1230</v>
      </c>
      <c r="G34" s="22" t="s">
        <v>1188</v>
      </c>
      <c r="H34" s="226" t="s">
        <v>1217</v>
      </c>
      <c r="I34" s="226" t="s">
        <v>1229</v>
      </c>
      <c r="J34" s="226" t="s">
        <v>1231</v>
      </c>
      <c r="K34" s="74"/>
      <c r="L34" s="74"/>
      <c r="M34" s="74"/>
      <c r="N34" s="74"/>
    </row>
    <row r="35" spans="1:21" ht="14.25" customHeight="1">
      <c r="A35" s="75">
        <v>231</v>
      </c>
      <c r="B35" s="226" t="s">
        <v>783</v>
      </c>
      <c r="C35" s="214" t="s">
        <v>170</v>
      </c>
      <c r="D35" s="228" t="s">
        <v>1124</v>
      </c>
      <c r="E35" s="74">
        <v>115.1</v>
      </c>
      <c r="F35" s="226"/>
      <c r="G35" s="226"/>
      <c r="H35" s="226"/>
      <c r="I35" s="226"/>
      <c r="J35" s="226"/>
      <c r="K35" s="74"/>
      <c r="L35" s="74"/>
      <c r="M35" s="74"/>
      <c r="N35" s="74"/>
    </row>
    <row r="36" spans="1:21" ht="14.25" customHeight="1">
      <c r="A36" s="75">
        <v>231</v>
      </c>
      <c r="B36" s="226" t="s">
        <v>783</v>
      </c>
      <c r="C36" s="214" t="s">
        <v>171</v>
      </c>
      <c r="D36" s="231" t="s">
        <v>1118</v>
      </c>
      <c r="E36" s="74">
        <v>109.2</v>
      </c>
      <c r="F36" s="226" t="s">
        <v>1230</v>
      </c>
      <c r="G36" s="226" t="s">
        <v>1239</v>
      </c>
      <c r="H36" s="226" t="s">
        <v>1218</v>
      </c>
      <c r="I36" s="226" t="s">
        <v>1229</v>
      </c>
      <c r="J36" s="226" t="s">
        <v>1231</v>
      </c>
      <c r="K36" s="74"/>
      <c r="L36" s="74"/>
      <c r="M36" s="74"/>
      <c r="N36" s="74"/>
    </row>
    <row r="37" spans="1:21" ht="15" thickBot="1">
      <c r="A37" s="75">
        <v>231</v>
      </c>
      <c r="B37" s="226" t="s">
        <v>783</v>
      </c>
      <c r="C37" s="214">
        <v>160</v>
      </c>
      <c r="D37" s="231" t="s">
        <v>1319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</row>
    <row r="38" spans="1:21" s="191" customFormat="1" ht="14.25" customHeight="1" thickBot="1">
      <c r="A38" s="179">
        <v>113</v>
      </c>
      <c r="B38" s="180" t="s">
        <v>73</v>
      </c>
      <c r="C38" s="181"/>
      <c r="D38" s="234" t="s">
        <v>935</v>
      </c>
      <c r="E38" s="221">
        <v>6005.6</v>
      </c>
      <c r="F38" s="272"/>
      <c r="G38" s="223"/>
      <c r="H38" s="223"/>
      <c r="I38" s="223"/>
      <c r="J38" s="223"/>
      <c r="K38" s="224"/>
      <c r="L38" s="186"/>
      <c r="M38" s="186"/>
      <c r="N38" s="186"/>
      <c r="O38" s="187"/>
      <c r="P38" s="187"/>
      <c r="Q38" s="187"/>
      <c r="R38" s="187"/>
      <c r="S38" s="188"/>
      <c r="T38" s="189"/>
      <c r="U38" s="190"/>
    </row>
    <row r="39" spans="1:21">
      <c r="A39" s="75">
        <v>231</v>
      </c>
      <c r="B39" s="226" t="s">
        <v>854</v>
      </c>
      <c r="C39" s="116" t="s">
        <v>257</v>
      </c>
      <c r="D39" s="228" t="s">
        <v>1088</v>
      </c>
      <c r="E39" s="74">
        <v>22.2</v>
      </c>
      <c r="F39" s="273" t="s">
        <v>1192</v>
      </c>
      <c r="G39" s="274" t="s">
        <v>1240</v>
      </c>
      <c r="H39" s="274" t="s">
        <v>219</v>
      </c>
      <c r="I39" s="274" t="s">
        <v>38</v>
      </c>
      <c r="J39" s="275" t="s">
        <v>1193</v>
      </c>
      <c r="K39" s="74"/>
      <c r="L39" s="74"/>
      <c r="M39" s="74"/>
      <c r="N39" s="74"/>
    </row>
    <row r="40" spans="1:21" ht="15">
      <c r="A40" s="75">
        <v>231</v>
      </c>
      <c r="B40" s="226" t="s">
        <v>854</v>
      </c>
      <c r="C40" s="116" t="s">
        <v>787</v>
      </c>
      <c r="D40" s="228" t="s">
        <v>820</v>
      </c>
      <c r="E40" s="74">
        <v>14.4</v>
      </c>
      <c r="F40" s="276" t="s">
        <v>1223</v>
      </c>
      <c r="G40" s="276" t="s">
        <v>1241</v>
      </c>
      <c r="H40" s="276" t="s">
        <v>1222</v>
      </c>
      <c r="I40" s="274">
        <v>2700</v>
      </c>
      <c r="J40" s="274" t="s">
        <v>38</v>
      </c>
      <c r="K40" s="74"/>
      <c r="L40" s="74"/>
      <c r="M40" s="74"/>
      <c r="N40" s="74"/>
    </row>
    <row r="41" spans="1:21">
      <c r="A41" s="75">
        <v>231</v>
      </c>
      <c r="B41" s="226" t="s">
        <v>854</v>
      </c>
      <c r="C41" s="117" t="s">
        <v>788</v>
      </c>
      <c r="D41" s="228" t="s">
        <v>821</v>
      </c>
      <c r="E41" s="74">
        <v>4.5999999999999996</v>
      </c>
      <c r="F41" s="274" t="s">
        <v>38</v>
      </c>
      <c r="G41" s="274" t="s">
        <v>38</v>
      </c>
      <c r="H41" s="274" t="s">
        <v>38</v>
      </c>
      <c r="I41" s="274" t="s">
        <v>38</v>
      </c>
      <c r="J41" s="274" t="s">
        <v>38</v>
      </c>
      <c r="K41" s="74"/>
      <c r="L41" s="74"/>
      <c r="M41" s="74"/>
      <c r="N41" s="74"/>
    </row>
    <row r="42" spans="1:21" ht="15">
      <c r="A42" s="75">
        <v>231</v>
      </c>
      <c r="B42" s="226" t="s">
        <v>854</v>
      </c>
      <c r="C42" s="116" t="s">
        <v>789</v>
      </c>
      <c r="D42" s="229" t="s">
        <v>822</v>
      </c>
      <c r="E42" s="74">
        <v>12</v>
      </c>
      <c r="F42" s="276" t="s">
        <v>1223</v>
      </c>
      <c r="G42" s="276" t="s">
        <v>1241</v>
      </c>
      <c r="H42" s="276" t="s">
        <v>1222</v>
      </c>
      <c r="I42" s="274">
        <v>2700</v>
      </c>
      <c r="J42" s="274" t="s">
        <v>38</v>
      </c>
      <c r="K42" s="74"/>
      <c r="L42" s="74"/>
      <c r="M42" s="74"/>
      <c r="N42" s="74"/>
    </row>
    <row r="43" spans="1:21">
      <c r="A43" s="75">
        <v>231</v>
      </c>
      <c r="B43" s="226" t="s">
        <v>854</v>
      </c>
      <c r="C43" s="116" t="s">
        <v>790</v>
      </c>
      <c r="D43" s="235" t="s">
        <v>823</v>
      </c>
      <c r="E43" s="74">
        <v>41</v>
      </c>
      <c r="F43" s="226" t="s">
        <v>1226</v>
      </c>
      <c r="G43" s="276" t="s">
        <v>1188</v>
      </c>
      <c r="H43" s="226" t="s">
        <v>1242</v>
      </c>
      <c r="I43" s="274">
        <v>2700</v>
      </c>
      <c r="J43" s="226" t="s">
        <v>1211</v>
      </c>
      <c r="K43" s="74"/>
      <c r="L43" s="74"/>
      <c r="M43" s="74"/>
      <c r="N43" s="74"/>
    </row>
    <row r="44" spans="1:21" ht="15">
      <c r="A44" s="75">
        <v>231</v>
      </c>
      <c r="B44" s="226" t="s">
        <v>854</v>
      </c>
      <c r="C44" s="116" t="s">
        <v>791</v>
      </c>
      <c r="D44" s="229" t="s">
        <v>824</v>
      </c>
      <c r="E44" s="74">
        <v>67.2</v>
      </c>
      <c r="F44" s="226" t="s">
        <v>1243</v>
      </c>
      <c r="G44" s="276" t="s">
        <v>1244</v>
      </c>
      <c r="H44" s="226" t="s">
        <v>1242</v>
      </c>
      <c r="I44" s="274">
        <v>2700</v>
      </c>
      <c r="J44" s="226" t="s">
        <v>1211</v>
      </c>
      <c r="K44" s="74"/>
      <c r="L44" s="74"/>
      <c r="M44" s="74"/>
      <c r="N44" s="74"/>
    </row>
    <row r="45" spans="1:21">
      <c r="A45" s="75">
        <v>231</v>
      </c>
      <c r="B45" s="226" t="s">
        <v>854</v>
      </c>
      <c r="C45" s="116" t="s">
        <v>792</v>
      </c>
      <c r="D45" s="228" t="s">
        <v>784</v>
      </c>
      <c r="E45" s="74">
        <v>24.2</v>
      </c>
      <c r="F45" s="273" t="s">
        <v>1192</v>
      </c>
      <c r="G45" s="274" t="s">
        <v>1240</v>
      </c>
      <c r="H45" s="274" t="s">
        <v>219</v>
      </c>
      <c r="I45" s="274" t="s">
        <v>38</v>
      </c>
      <c r="J45" s="275" t="s">
        <v>1193</v>
      </c>
      <c r="K45" s="74"/>
      <c r="L45" s="74"/>
      <c r="M45" s="74"/>
      <c r="N45" s="74"/>
    </row>
    <row r="46" spans="1:21">
      <c r="A46" s="75">
        <v>231</v>
      </c>
      <c r="B46" s="226" t="s">
        <v>854</v>
      </c>
      <c r="C46" s="116" t="s">
        <v>793</v>
      </c>
      <c r="D46" s="228" t="s">
        <v>825</v>
      </c>
      <c r="E46" s="74">
        <v>35.4</v>
      </c>
      <c r="F46" s="226" t="s">
        <v>1214</v>
      </c>
      <c r="G46" s="226" t="s">
        <v>1236</v>
      </c>
      <c r="H46" s="226" t="s">
        <v>1228</v>
      </c>
      <c r="I46" s="274" t="s">
        <v>38</v>
      </c>
      <c r="J46" s="226" t="s">
        <v>1245</v>
      </c>
      <c r="K46" s="74"/>
      <c r="L46" s="74"/>
      <c r="M46" s="74"/>
      <c r="N46" s="74"/>
    </row>
    <row r="47" spans="1:21">
      <c r="A47" s="75">
        <v>231</v>
      </c>
      <c r="B47" s="226" t="s">
        <v>854</v>
      </c>
      <c r="C47" s="116" t="s">
        <v>794</v>
      </c>
      <c r="D47" s="228" t="s">
        <v>826</v>
      </c>
      <c r="E47" s="74">
        <v>28</v>
      </c>
      <c r="F47" s="226" t="s">
        <v>1214</v>
      </c>
      <c r="G47" s="276" t="s">
        <v>1244</v>
      </c>
      <c r="H47" s="226" t="s">
        <v>1217</v>
      </c>
      <c r="I47" s="274" t="s">
        <v>38</v>
      </c>
      <c r="J47" s="226" t="s">
        <v>1245</v>
      </c>
      <c r="K47" s="74"/>
      <c r="L47" s="74"/>
      <c r="M47" s="74"/>
      <c r="N47" s="74"/>
    </row>
    <row r="48" spans="1:21">
      <c r="A48" s="75">
        <v>231</v>
      </c>
      <c r="B48" s="226" t="s">
        <v>854</v>
      </c>
      <c r="C48" s="116" t="s">
        <v>795</v>
      </c>
      <c r="D48" s="228" t="s">
        <v>827</v>
      </c>
      <c r="E48" s="74">
        <v>25.1</v>
      </c>
      <c r="F48" s="226" t="s">
        <v>1214</v>
      </c>
      <c r="G48" s="274" t="s">
        <v>1240</v>
      </c>
      <c r="H48" s="226" t="s">
        <v>1228</v>
      </c>
      <c r="I48" s="274" t="s">
        <v>38</v>
      </c>
      <c r="J48" s="226" t="s">
        <v>1245</v>
      </c>
      <c r="K48" s="74"/>
      <c r="L48" s="74"/>
      <c r="M48" s="74"/>
      <c r="N48" s="74"/>
    </row>
    <row r="49" spans="1:14">
      <c r="A49" s="75">
        <v>231</v>
      </c>
      <c r="B49" s="226" t="s">
        <v>854</v>
      </c>
      <c r="C49" s="116" t="s">
        <v>796</v>
      </c>
      <c r="D49" s="228" t="s">
        <v>828</v>
      </c>
      <c r="E49" s="74">
        <v>5.2</v>
      </c>
      <c r="F49" s="274" t="s">
        <v>38</v>
      </c>
      <c r="G49" s="274" t="s">
        <v>38</v>
      </c>
      <c r="H49" s="274" t="s">
        <v>38</v>
      </c>
      <c r="I49" s="274" t="s">
        <v>38</v>
      </c>
      <c r="J49" s="274" t="s">
        <v>38</v>
      </c>
      <c r="K49" s="74"/>
      <c r="L49" s="74"/>
      <c r="M49" s="74"/>
      <c r="N49" s="74"/>
    </row>
    <row r="50" spans="1:14">
      <c r="A50" s="75">
        <v>231</v>
      </c>
      <c r="B50" s="226" t="s">
        <v>854</v>
      </c>
      <c r="C50" s="317" t="s">
        <v>1320</v>
      </c>
      <c r="D50" s="318" t="s">
        <v>1322</v>
      </c>
      <c r="E50" s="74"/>
      <c r="F50" s="6"/>
      <c r="G50" s="6"/>
      <c r="H50" s="6"/>
      <c r="I50" s="6"/>
      <c r="J50" s="6"/>
      <c r="K50" s="74"/>
      <c r="L50" s="74"/>
      <c r="M50" s="74"/>
      <c r="N50" s="74"/>
    </row>
    <row r="51" spans="1:14">
      <c r="A51" s="75">
        <v>231</v>
      </c>
      <c r="B51" s="226" t="s">
        <v>854</v>
      </c>
      <c r="C51" s="317" t="s">
        <v>1321</v>
      </c>
      <c r="D51" s="318" t="s">
        <v>1323</v>
      </c>
      <c r="E51" s="74"/>
      <c r="F51" s="6"/>
      <c r="G51" s="6"/>
      <c r="H51" s="6"/>
      <c r="I51" s="6"/>
      <c r="J51" s="6"/>
      <c r="K51" s="74"/>
      <c r="L51" s="74"/>
      <c r="M51" s="74"/>
      <c r="N51" s="74"/>
    </row>
    <row r="52" spans="1:14">
      <c r="A52" s="75">
        <v>231</v>
      </c>
      <c r="B52" s="226" t="s">
        <v>854</v>
      </c>
      <c r="C52" s="116" t="s">
        <v>797</v>
      </c>
      <c r="D52" s="228" t="s">
        <v>829</v>
      </c>
      <c r="E52" s="74">
        <v>118.2</v>
      </c>
      <c r="F52" s="74"/>
      <c r="G52" s="74"/>
      <c r="H52" s="74"/>
      <c r="I52" s="74"/>
      <c r="J52" s="74"/>
      <c r="K52" s="74"/>
      <c r="L52" s="74"/>
      <c r="M52" s="74"/>
      <c r="N52" s="74"/>
    </row>
    <row r="53" spans="1:14">
      <c r="A53" s="75">
        <v>231</v>
      </c>
      <c r="B53" s="226" t="s">
        <v>854</v>
      </c>
      <c r="C53" s="116" t="s">
        <v>798</v>
      </c>
      <c r="D53" s="228" t="s">
        <v>830</v>
      </c>
      <c r="E53" s="74">
        <v>64.7</v>
      </c>
      <c r="F53" s="74"/>
      <c r="G53" s="74"/>
      <c r="H53" s="74"/>
      <c r="I53" s="74"/>
      <c r="J53" s="74"/>
      <c r="K53" s="74"/>
      <c r="L53" s="74"/>
      <c r="M53" s="74"/>
      <c r="N53" s="74"/>
    </row>
    <row r="54" spans="1:14">
      <c r="A54" s="75">
        <v>231</v>
      </c>
      <c r="B54" s="226" t="s">
        <v>854</v>
      </c>
      <c r="C54" s="116" t="s">
        <v>799</v>
      </c>
      <c r="D54" s="228" t="s">
        <v>831</v>
      </c>
      <c r="E54" s="74">
        <v>64.7</v>
      </c>
      <c r="F54" s="74"/>
      <c r="G54" s="74"/>
      <c r="H54" s="74"/>
      <c r="I54" s="74"/>
      <c r="J54" s="74"/>
      <c r="K54" s="74"/>
      <c r="L54" s="74"/>
      <c r="M54" s="74"/>
      <c r="N54" s="74"/>
    </row>
    <row r="55" spans="1:14">
      <c r="A55" s="75">
        <v>231</v>
      </c>
      <c r="B55" s="226" t="s">
        <v>854</v>
      </c>
      <c r="C55" s="116" t="s">
        <v>800</v>
      </c>
      <c r="D55" s="236" t="s">
        <v>832</v>
      </c>
      <c r="E55" s="74">
        <v>26.8</v>
      </c>
      <c r="F55" s="74"/>
      <c r="G55" s="74"/>
      <c r="H55" s="74"/>
      <c r="I55" s="74"/>
      <c r="J55" s="74"/>
      <c r="K55" s="74"/>
      <c r="L55" s="74"/>
      <c r="M55" s="74"/>
      <c r="N55" s="74"/>
    </row>
    <row r="56" spans="1:14">
      <c r="A56" s="75">
        <v>231</v>
      </c>
      <c r="B56" s="226" t="s">
        <v>854</v>
      </c>
      <c r="C56" s="116" t="s">
        <v>801</v>
      </c>
      <c r="D56" s="228" t="s">
        <v>833</v>
      </c>
      <c r="E56" s="74">
        <v>82.4</v>
      </c>
      <c r="F56" s="74"/>
      <c r="G56" s="74"/>
      <c r="H56" s="74"/>
      <c r="I56" s="74"/>
      <c r="J56" s="74"/>
      <c r="K56" s="74"/>
      <c r="L56" s="74"/>
      <c r="M56" s="74"/>
      <c r="N56" s="74"/>
    </row>
    <row r="57" spans="1:14">
      <c r="A57" s="75">
        <v>231</v>
      </c>
      <c r="B57" s="226" t="s">
        <v>854</v>
      </c>
      <c r="C57" s="116" t="s">
        <v>802</v>
      </c>
      <c r="D57" s="228" t="s">
        <v>834</v>
      </c>
      <c r="E57" s="74">
        <v>24.7</v>
      </c>
      <c r="F57" s="226" t="s">
        <v>1246</v>
      </c>
      <c r="G57" s="226" t="s">
        <v>1236</v>
      </c>
      <c r="H57" s="226" t="s">
        <v>1228</v>
      </c>
      <c r="I57" s="274" t="s">
        <v>38</v>
      </c>
      <c r="J57" s="226" t="s">
        <v>1225</v>
      </c>
      <c r="K57" s="74"/>
      <c r="L57" s="74"/>
      <c r="M57" s="74"/>
      <c r="N57" s="74"/>
    </row>
    <row r="58" spans="1:14">
      <c r="A58" s="75">
        <v>231</v>
      </c>
      <c r="B58" s="226" t="s">
        <v>854</v>
      </c>
      <c r="C58" s="116" t="s">
        <v>803</v>
      </c>
      <c r="D58" s="228" t="s">
        <v>835</v>
      </c>
      <c r="E58" s="74">
        <v>59.1</v>
      </c>
      <c r="F58" s="226" t="s">
        <v>1230</v>
      </c>
      <c r="G58" s="226" t="s">
        <v>1247</v>
      </c>
      <c r="H58" s="226" t="s">
        <v>1228</v>
      </c>
      <c r="I58" s="274" t="s">
        <v>38</v>
      </c>
      <c r="J58" s="226" t="s">
        <v>1231</v>
      </c>
      <c r="K58" s="74"/>
      <c r="L58" s="74"/>
      <c r="M58" s="74"/>
      <c r="N58" s="74"/>
    </row>
    <row r="59" spans="1:14">
      <c r="A59" s="75">
        <v>231</v>
      </c>
      <c r="B59" s="226" t="s">
        <v>854</v>
      </c>
      <c r="C59" s="116" t="s">
        <v>804</v>
      </c>
      <c r="D59" s="228" t="s">
        <v>836</v>
      </c>
      <c r="E59" s="74">
        <v>64.7</v>
      </c>
      <c r="F59" s="226" t="s">
        <v>1230</v>
      </c>
      <c r="G59" s="226" t="s">
        <v>1247</v>
      </c>
      <c r="H59" s="226" t="s">
        <v>1228</v>
      </c>
      <c r="I59" s="274" t="s">
        <v>38</v>
      </c>
      <c r="J59" s="226" t="s">
        <v>1231</v>
      </c>
      <c r="K59" s="74"/>
      <c r="L59" s="74"/>
      <c r="M59" s="74"/>
      <c r="N59" s="74"/>
    </row>
    <row r="60" spans="1:14">
      <c r="A60" s="75">
        <v>231</v>
      </c>
      <c r="B60" s="226" t="s">
        <v>854</v>
      </c>
      <c r="C60" s="116" t="s">
        <v>805</v>
      </c>
      <c r="D60" s="228" t="s">
        <v>837</v>
      </c>
      <c r="E60" s="74">
        <v>194.8</v>
      </c>
      <c r="F60" s="226" t="s">
        <v>1230</v>
      </c>
      <c r="G60" s="226" t="s">
        <v>1247</v>
      </c>
      <c r="H60" s="226" t="s">
        <v>1228</v>
      </c>
      <c r="I60" s="274" t="s">
        <v>38</v>
      </c>
      <c r="J60" s="226" t="s">
        <v>1231</v>
      </c>
      <c r="K60" s="74"/>
      <c r="L60" s="74"/>
      <c r="M60" s="74"/>
      <c r="N60" s="74"/>
    </row>
    <row r="61" spans="1:14" ht="15">
      <c r="A61" s="75">
        <v>231</v>
      </c>
      <c r="B61" s="226" t="s">
        <v>854</v>
      </c>
      <c r="C61" s="116" t="s">
        <v>806</v>
      </c>
      <c r="D61" s="228" t="s">
        <v>838</v>
      </c>
      <c r="E61" s="74">
        <v>7</v>
      </c>
      <c r="F61" s="274" t="s">
        <v>38</v>
      </c>
      <c r="G61" s="274" t="s">
        <v>38</v>
      </c>
      <c r="H61" s="274" t="s">
        <v>38</v>
      </c>
      <c r="I61" s="274" t="s">
        <v>38</v>
      </c>
      <c r="J61" s="274" t="s">
        <v>38</v>
      </c>
      <c r="K61" s="74"/>
      <c r="L61" s="74"/>
      <c r="M61" s="74"/>
      <c r="N61" s="74"/>
    </row>
    <row r="62" spans="1:14">
      <c r="A62" s="75">
        <v>231</v>
      </c>
      <c r="B62" s="226" t="s">
        <v>854</v>
      </c>
      <c r="C62" s="116" t="s">
        <v>807</v>
      </c>
      <c r="D62" s="228" t="s">
        <v>785</v>
      </c>
      <c r="E62" s="74">
        <v>27.9</v>
      </c>
      <c r="F62" s="273" t="s">
        <v>1192</v>
      </c>
      <c r="G62" s="274" t="s">
        <v>1240</v>
      </c>
      <c r="H62" s="274" t="s">
        <v>219</v>
      </c>
      <c r="I62" s="274" t="s">
        <v>38</v>
      </c>
      <c r="J62" s="275" t="s">
        <v>1193</v>
      </c>
      <c r="K62" s="74"/>
      <c r="L62" s="74"/>
      <c r="M62" s="74"/>
      <c r="N62" s="74"/>
    </row>
    <row r="63" spans="1:14">
      <c r="A63" s="75">
        <v>231</v>
      </c>
      <c r="B63" s="226" t="s">
        <v>854</v>
      </c>
      <c r="C63" s="317" t="s">
        <v>1324</v>
      </c>
      <c r="D63" s="238" t="s">
        <v>841</v>
      </c>
      <c r="E63" s="74"/>
      <c r="F63" s="226" t="s">
        <v>1230</v>
      </c>
      <c r="G63" s="226" t="s">
        <v>1247</v>
      </c>
      <c r="H63" s="226" t="s">
        <v>1218</v>
      </c>
      <c r="I63" s="274">
        <v>2800</v>
      </c>
      <c r="J63" s="226" t="s">
        <v>1231</v>
      </c>
      <c r="K63" s="74"/>
      <c r="L63" s="74"/>
      <c r="M63" s="74"/>
      <c r="N63" s="74"/>
    </row>
    <row r="64" spans="1:14">
      <c r="A64" s="75">
        <v>231</v>
      </c>
      <c r="B64" s="226" t="s">
        <v>854</v>
      </c>
      <c r="C64" s="116" t="s">
        <v>808</v>
      </c>
      <c r="D64" s="228" t="s">
        <v>786</v>
      </c>
      <c r="E64" s="74">
        <v>27.9</v>
      </c>
      <c r="F64" s="273" t="s">
        <v>1192</v>
      </c>
      <c r="G64" s="274" t="s">
        <v>1240</v>
      </c>
      <c r="H64" s="274" t="s">
        <v>219</v>
      </c>
      <c r="I64" s="274" t="s">
        <v>38</v>
      </c>
      <c r="J64" s="275" t="s">
        <v>1193</v>
      </c>
      <c r="K64" s="74"/>
      <c r="L64" s="74"/>
      <c r="M64" s="74"/>
      <c r="N64" s="74"/>
    </row>
    <row r="65" spans="1:21" ht="15">
      <c r="A65" s="75">
        <v>231</v>
      </c>
      <c r="B65" s="226" t="s">
        <v>854</v>
      </c>
      <c r="C65" s="116" t="s">
        <v>809</v>
      </c>
      <c r="D65" s="237" t="s">
        <v>839</v>
      </c>
      <c r="E65" s="74">
        <v>37.1</v>
      </c>
      <c r="F65" s="226" t="s">
        <v>1226</v>
      </c>
      <c r="G65" s="276" t="s">
        <v>173</v>
      </c>
      <c r="H65" s="226" t="s">
        <v>1217</v>
      </c>
      <c r="I65" s="274" t="s">
        <v>38</v>
      </c>
      <c r="J65" s="226" t="s">
        <v>1211</v>
      </c>
      <c r="K65" s="74"/>
      <c r="L65" s="74"/>
      <c r="M65" s="74"/>
      <c r="N65" s="74"/>
    </row>
    <row r="66" spans="1:21" ht="15">
      <c r="A66" s="75">
        <v>231</v>
      </c>
      <c r="B66" s="226" t="s">
        <v>854</v>
      </c>
      <c r="C66" s="116" t="s">
        <v>810</v>
      </c>
      <c r="D66" s="237" t="s">
        <v>840</v>
      </c>
      <c r="E66" s="74">
        <v>18.2</v>
      </c>
      <c r="F66" s="226" t="s">
        <v>1226</v>
      </c>
      <c r="G66" s="276" t="s">
        <v>173</v>
      </c>
      <c r="H66" s="226" t="s">
        <v>1217</v>
      </c>
      <c r="I66" s="274" t="s">
        <v>38</v>
      </c>
      <c r="J66" s="226" t="s">
        <v>1211</v>
      </c>
      <c r="K66" s="74"/>
      <c r="L66" s="74"/>
      <c r="M66" s="74"/>
      <c r="N66" s="74"/>
    </row>
    <row r="67" spans="1:21">
      <c r="A67" s="75">
        <v>231</v>
      </c>
      <c r="B67" s="226" t="s">
        <v>854</v>
      </c>
      <c r="C67" s="116" t="s">
        <v>811</v>
      </c>
      <c r="D67" s="238" t="s">
        <v>841</v>
      </c>
      <c r="E67" s="74">
        <v>248.6</v>
      </c>
      <c r="F67" s="226" t="s">
        <v>1230</v>
      </c>
      <c r="G67" s="226" t="s">
        <v>1247</v>
      </c>
      <c r="H67" s="226" t="s">
        <v>1218</v>
      </c>
      <c r="I67" s="274">
        <v>2800</v>
      </c>
      <c r="J67" s="226" t="s">
        <v>1231</v>
      </c>
      <c r="K67" s="74"/>
      <c r="L67" s="74"/>
      <c r="M67" s="74"/>
      <c r="N67" s="74"/>
    </row>
    <row r="68" spans="1:21">
      <c r="A68" s="75">
        <v>231</v>
      </c>
      <c r="B68" s="226" t="s">
        <v>854</v>
      </c>
      <c r="C68" s="116" t="s">
        <v>812</v>
      </c>
      <c r="D68" s="237" t="s">
        <v>842</v>
      </c>
      <c r="E68" s="74">
        <v>15.4</v>
      </c>
      <c r="F68" s="226" t="s">
        <v>1214</v>
      </c>
      <c r="G68" s="226" t="s">
        <v>1247</v>
      </c>
      <c r="H68" s="226" t="s">
        <v>1228</v>
      </c>
      <c r="I68" s="274" t="s">
        <v>38</v>
      </c>
      <c r="J68" s="226" t="s">
        <v>1225</v>
      </c>
      <c r="K68" s="74"/>
      <c r="L68" s="74"/>
      <c r="M68" s="74"/>
      <c r="N68" s="74"/>
    </row>
    <row r="69" spans="1:21">
      <c r="A69" s="75">
        <v>231</v>
      </c>
      <c r="B69" s="226" t="s">
        <v>854</v>
      </c>
      <c r="C69" s="116" t="s">
        <v>813</v>
      </c>
      <c r="D69" s="237" t="s">
        <v>843</v>
      </c>
      <c r="E69" s="74">
        <v>23.7</v>
      </c>
      <c r="F69" s="226" t="s">
        <v>1214</v>
      </c>
      <c r="G69" s="226" t="s">
        <v>1247</v>
      </c>
      <c r="H69" s="226" t="s">
        <v>1228</v>
      </c>
      <c r="I69" s="274" t="s">
        <v>38</v>
      </c>
      <c r="J69" s="226" t="s">
        <v>1225</v>
      </c>
      <c r="K69" s="74"/>
      <c r="L69" s="74"/>
      <c r="M69" s="74"/>
      <c r="N69" s="74"/>
    </row>
    <row r="70" spans="1:21">
      <c r="A70" s="75">
        <v>231</v>
      </c>
      <c r="B70" s="226" t="s">
        <v>854</v>
      </c>
      <c r="C70" s="116" t="s">
        <v>814</v>
      </c>
      <c r="D70" s="239" t="s">
        <v>844</v>
      </c>
      <c r="E70" s="74">
        <v>15</v>
      </c>
      <c r="F70" s="226" t="s">
        <v>1226</v>
      </c>
      <c r="G70" s="276" t="s">
        <v>173</v>
      </c>
      <c r="H70" s="226" t="s">
        <v>1217</v>
      </c>
      <c r="I70" s="274" t="s">
        <v>38</v>
      </c>
      <c r="J70" s="226" t="s">
        <v>1213</v>
      </c>
      <c r="K70" s="74"/>
      <c r="L70" s="74"/>
      <c r="M70" s="74"/>
      <c r="N70" s="74"/>
    </row>
    <row r="71" spans="1:21">
      <c r="A71" s="75">
        <v>231</v>
      </c>
      <c r="B71" s="226" t="s">
        <v>854</v>
      </c>
      <c r="C71" s="116" t="s">
        <v>815</v>
      </c>
      <c r="D71" s="240" t="s">
        <v>845</v>
      </c>
      <c r="E71" s="74">
        <v>13.4</v>
      </c>
      <c r="F71" s="226" t="s">
        <v>1248</v>
      </c>
      <c r="G71" s="226" t="s">
        <v>1247</v>
      </c>
      <c r="H71" s="226" t="s">
        <v>1228</v>
      </c>
      <c r="I71" s="274" t="s">
        <v>38</v>
      </c>
      <c r="J71" s="226" t="s">
        <v>1225</v>
      </c>
      <c r="K71" s="74"/>
      <c r="L71" s="74"/>
      <c r="M71" s="74"/>
      <c r="N71" s="74"/>
    </row>
    <row r="72" spans="1:21">
      <c r="A72" s="75">
        <v>231</v>
      </c>
      <c r="B72" s="226" t="s">
        <v>854</v>
      </c>
      <c r="C72" s="116" t="s">
        <v>816</v>
      </c>
      <c r="D72" s="237" t="s">
        <v>846</v>
      </c>
      <c r="E72" s="74">
        <v>47.8</v>
      </c>
      <c r="F72" s="226" t="s">
        <v>1230</v>
      </c>
      <c r="G72" s="226" t="s">
        <v>1247</v>
      </c>
      <c r="H72" s="226" t="s">
        <v>1217</v>
      </c>
      <c r="I72" s="274" t="s">
        <v>38</v>
      </c>
      <c r="J72" s="226" t="s">
        <v>1231</v>
      </c>
      <c r="K72" s="74"/>
      <c r="L72" s="74"/>
      <c r="M72" s="74"/>
      <c r="N72" s="74"/>
    </row>
    <row r="73" spans="1:21">
      <c r="A73" s="75">
        <v>231</v>
      </c>
      <c r="B73" s="226" t="s">
        <v>854</v>
      </c>
      <c r="C73" s="116" t="s">
        <v>817</v>
      </c>
      <c r="D73" s="239" t="s">
        <v>847</v>
      </c>
      <c r="E73" s="74">
        <v>109.6</v>
      </c>
      <c r="F73" s="226" t="s">
        <v>1230</v>
      </c>
      <c r="G73" s="226" t="s">
        <v>930</v>
      </c>
      <c r="H73" s="226" t="s">
        <v>1252</v>
      </c>
      <c r="I73" s="274">
        <v>2800</v>
      </c>
      <c r="J73" s="226" t="s">
        <v>567</v>
      </c>
      <c r="K73" s="74"/>
      <c r="L73" s="74"/>
      <c r="M73" s="74"/>
      <c r="N73" s="74"/>
    </row>
    <row r="74" spans="1:21">
      <c r="A74" s="75">
        <v>231</v>
      </c>
      <c r="B74" s="226" t="s">
        <v>854</v>
      </c>
      <c r="C74" s="116" t="s">
        <v>818</v>
      </c>
      <c r="D74" s="237" t="s">
        <v>848</v>
      </c>
      <c r="E74" s="74">
        <v>25.1</v>
      </c>
      <c r="F74" s="226" t="s">
        <v>1230</v>
      </c>
      <c r="G74" s="226" t="s">
        <v>930</v>
      </c>
      <c r="H74" s="226" t="s">
        <v>219</v>
      </c>
      <c r="I74" s="274" t="s">
        <v>38</v>
      </c>
      <c r="J74" s="226" t="s">
        <v>567</v>
      </c>
      <c r="K74" s="74"/>
      <c r="L74" s="74"/>
      <c r="M74" s="74"/>
      <c r="N74" s="74"/>
    </row>
    <row r="75" spans="1:21">
      <c r="A75" s="75">
        <v>231</v>
      </c>
      <c r="B75" s="226" t="s">
        <v>920</v>
      </c>
      <c r="C75" s="74">
        <v>215</v>
      </c>
      <c r="D75" s="232" t="s">
        <v>852</v>
      </c>
      <c r="E75" s="74">
        <v>7.8</v>
      </c>
      <c r="F75" s="274" t="s">
        <v>38</v>
      </c>
      <c r="G75" s="274" t="s">
        <v>38</v>
      </c>
      <c r="H75" s="274" t="s">
        <v>38</v>
      </c>
      <c r="I75" s="274" t="s">
        <v>38</v>
      </c>
      <c r="J75" s="274" t="s">
        <v>38</v>
      </c>
      <c r="K75" s="74"/>
      <c r="L75" s="74"/>
      <c r="M75" s="74"/>
      <c r="N75" s="74"/>
    </row>
    <row r="76" spans="1:21" ht="15" thickBot="1">
      <c r="A76" s="75">
        <v>231</v>
      </c>
      <c r="B76" s="226" t="s">
        <v>920</v>
      </c>
      <c r="C76" s="74">
        <v>213</v>
      </c>
      <c r="D76" s="232" t="s">
        <v>853</v>
      </c>
      <c r="E76" s="74">
        <v>10.5</v>
      </c>
      <c r="F76" s="274" t="s">
        <v>38</v>
      </c>
      <c r="G76" s="274" t="s">
        <v>38</v>
      </c>
      <c r="H76" s="274" t="s">
        <v>38</v>
      </c>
      <c r="I76" s="274" t="s">
        <v>38</v>
      </c>
      <c r="J76" s="274" t="s">
        <v>38</v>
      </c>
      <c r="K76" s="74"/>
      <c r="L76" s="74"/>
      <c r="M76" s="74"/>
      <c r="N76" s="74"/>
    </row>
    <row r="77" spans="1:21" s="191" customFormat="1" ht="14.25" customHeight="1" thickBot="1">
      <c r="A77" s="179">
        <v>231</v>
      </c>
      <c r="B77" s="180" t="s">
        <v>256</v>
      </c>
      <c r="C77" s="181"/>
      <c r="D77" s="234" t="s">
        <v>935</v>
      </c>
      <c r="E77" s="221">
        <v>2666.3</v>
      </c>
      <c r="F77" s="222"/>
      <c r="G77" s="223"/>
      <c r="H77" s="223"/>
      <c r="I77" s="223"/>
      <c r="J77" s="223"/>
      <c r="K77" s="224"/>
      <c r="L77" s="186"/>
      <c r="M77" s="186"/>
      <c r="N77" s="186"/>
      <c r="O77" s="187"/>
      <c r="P77" s="187"/>
      <c r="Q77" s="187"/>
      <c r="R77" s="187"/>
      <c r="S77" s="188"/>
      <c r="T77" s="189"/>
      <c r="U77" s="190"/>
    </row>
    <row r="78" spans="1:21">
      <c r="A78" s="75">
        <v>231</v>
      </c>
      <c r="B78" s="226" t="s">
        <v>855</v>
      </c>
      <c r="C78" s="116" t="s">
        <v>601</v>
      </c>
      <c r="D78" s="237" t="s">
        <v>786</v>
      </c>
      <c r="E78" s="74">
        <v>27.9</v>
      </c>
      <c r="F78" s="273" t="s">
        <v>1187</v>
      </c>
      <c r="G78" s="274" t="s">
        <v>173</v>
      </c>
      <c r="H78" s="274" t="s">
        <v>102</v>
      </c>
      <c r="I78" s="274" t="s">
        <v>38</v>
      </c>
      <c r="J78" s="275" t="s">
        <v>261</v>
      </c>
      <c r="K78" s="74"/>
      <c r="L78" s="74"/>
      <c r="M78" s="74"/>
      <c r="N78" s="74"/>
    </row>
    <row r="79" spans="1:21" ht="15">
      <c r="A79" s="75">
        <v>231</v>
      </c>
      <c r="B79" s="226" t="s">
        <v>855</v>
      </c>
      <c r="C79" s="116" t="s">
        <v>602</v>
      </c>
      <c r="D79" s="237" t="s">
        <v>849</v>
      </c>
      <c r="E79" s="74">
        <v>39.200000000000003</v>
      </c>
      <c r="F79" s="226" t="s">
        <v>1249</v>
      </c>
      <c r="G79" s="274" t="s">
        <v>173</v>
      </c>
      <c r="H79" s="274" t="s">
        <v>1250</v>
      </c>
      <c r="I79" s="274" t="s">
        <v>38</v>
      </c>
      <c r="J79" s="226" t="s">
        <v>1251</v>
      </c>
      <c r="K79" s="74"/>
      <c r="L79" s="74"/>
      <c r="M79" s="74"/>
      <c r="N79" s="74"/>
    </row>
    <row r="80" spans="1:21">
      <c r="A80" s="75">
        <v>232</v>
      </c>
      <c r="B80" s="226" t="s">
        <v>855</v>
      </c>
      <c r="C80" s="74">
        <v>303</v>
      </c>
      <c r="D80" s="232" t="s">
        <v>852</v>
      </c>
      <c r="E80" s="74">
        <v>7.8</v>
      </c>
      <c r="F80" s="274" t="s">
        <v>38</v>
      </c>
      <c r="G80" s="274" t="s">
        <v>38</v>
      </c>
      <c r="H80" s="274" t="s">
        <v>38</v>
      </c>
      <c r="I80" s="274" t="s">
        <v>38</v>
      </c>
      <c r="J80" s="274" t="s">
        <v>38</v>
      </c>
      <c r="K80" s="74"/>
      <c r="L80" s="74"/>
      <c r="M80" s="74"/>
      <c r="N80" s="74"/>
    </row>
    <row r="81" spans="1:21">
      <c r="A81" s="75">
        <v>233</v>
      </c>
      <c r="B81" s="226" t="s">
        <v>855</v>
      </c>
      <c r="C81" s="74">
        <v>305</v>
      </c>
      <c r="D81" s="232" t="s">
        <v>853</v>
      </c>
      <c r="E81" s="74">
        <v>10.5</v>
      </c>
      <c r="F81" s="274" t="s">
        <v>38</v>
      </c>
      <c r="G81" s="274" t="s">
        <v>38</v>
      </c>
      <c r="H81" s="274" t="s">
        <v>38</v>
      </c>
      <c r="I81" s="274" t="s">
        <v>38</v>
      </c>
      <c r="J81" s="274" t="s">
        <v>38</v>
      </c>
      <c r="K81" s="74"/>
      <c r="L81" s="74"/>
      <c r="M81" s="74"/>
      <c r="N81" s="74"/>
    </row>
    <row r="82" spans="1:21" ht="15">
      <c r="A82" s="75">
        <v>234</v>
      </c>
      <c r="B82" s="226" t="s">
        <v>855</v>
      </c>
      <c r="C82" s="116" t="s">
        <v>606</v>
      </c>
      <c r="D82" s="237" t="s">
        <v>838</v>
      </c>
      <c r="E82" s="74">
        <v>5.2</v>
      </c>
      <c r="F82" s="274" t="s">
        <v>38</v>
      </c>
      <c r="G82" s="274" t="s">
        <v>38</v>
      </c>
      <c r="H82" s="274" t="s">
        <v>38</v>
      </c>
      <c r="I82" s="274" t="s">
        <v>38</v>
      </c>
      <c r="J82" s="274" t="s">
        <v>38</v>
      </c>
      <c r="K82" s="74"/>
      <c r="L82" s="74"/>
      <c r="M82" s="74"/>
      <c r="N82" s="74"/>
    </row>
    <row r="83" spans="1:21">
      <c r="A83" s="75">
        <v>231</v>
      </c>
      <c r="B83" s="226" t="s">
        <v>855</v>
      </c>
      <c r="C83" s="116" t="s">
        <v>607</v>
      </c>
      <c r="D83" s="237" t="s">
        <v>850</v>
      </c>
      <c r="E83" s="74">
        <v>852</v>
      </c>
      <c r="F83" s="226" t="s">
        <v>1249</v>
      </c>
      <c r="G83" s="274" t="s">
        <v>173</v>
      </c>
      <c r="H83" s="274" t="s">
        <v>102</v>
      </c>
      <c r="I83" s="274" t="s">
        <v>38</v>
      </c>
      <c r="J83" s="226" t="s">
        <v>1251</v>
      </c>
      <c r="K83" s="74"/>
      <c r="L83" s="74"/>
      <c r="M83" s="74"/>
      <c r="N83" s="74"/>
    </row>
    <row r="84" spans="1:21">
      <c r="A84" s="75">
        <v>231</v>
      </c>
      <c r="B84" s="226" t="s">
        <v>855</v>
      </c>
      <c r="C84" s="118" t="s">
        <v>608</v>
      </c>
      <c r="D84" s="237" t="s">
        <v>785</v>
      </c>
      <c r="E84" s="74">
        <v>27.9</v>
      </c>
      <c r="F84" s="273" t="s">
        <v>1187</v>
      </c>
      <c r="G84" s="274" t="s">
        <v>173</v>
      </c>
      <c r="H84" s="274" t="s">
        <v>102</v>
      </c>
      <c r="I84" s="274" t="s">
        <v>38</v>
      </c>
      <c r="J84" s="275" t="s">
        <v>261</v>
      </c>
      <c r="K84" s="74"/>
      <c r="L84" s="74"/>
      <c r="M84" s="74"/>
      <c r="N84" s="74"/>
    </row>
    <row r="85" spans="1:21">
      <c r="A85" s="75">
        <v>231</v>
      </c>
      <c r="B85" s="226" t="s">
        <v>855</v>
      </c>
      <c r="C85" s="118">
        <v>310</v>
      </c>
      <c r="D85" s="237" t="s">
        <v>851</v>
      </c>
      <c r="E85" s="74">
        <v>44.4</v>
      </c>
      <c r="F85" s="226" t="s">
        <v>1249</v>
      </c>
      <c r="G85" s="274" t="s">
        <v>173</v>
      </c>
      <c r="H85" s="274" t="s">
        <v>102</v>
      </c>
      <c r="I85" s="274" t="s">
        <v>38</v>
      </c>
      <c r="J85" s="226" t="s">
        <v>1251</v>
      </c>
      <c r="K85" s="74"/>
      <c r="L85" s="74"/>
      <c r="M85" s="74"/>
      <c r="N85" s="74"/>
    </row>
    <row r="86" spans="1:21" ht="15" thickBot="1">
      <c r="A86" s="75">
        <v>231</v>
      </c>
      <c r="B86" s="226" t="s">
        <v>855</v>
      </c>
      <c r="C86" s="118" t="s">
        <v>819</v>
      </c>
      <c r="D86" s="237" t="s">
        <v>828</v>
      </c>
      <c r="E86" s="74">
        <v>7</v>
      </c>
      <c r="F86" s="274" t="s">
        <v>38</v>
      </c>
      <c r="G86" s="274" t="s">
        <v>38</v>
      </c>
      <c r="H86" s="274" t="s">
        <v>38</v>
      </c>
      <c r="I86" s="274" t="s">
        <v>38</v>
      </c>
      <c r="J86" s="274" t="s">
        <v>38</v>
      </c>
      <c r="K86" s="74"/>
      <c r="L86" s="74"/>
      <c r="M86" s="74"/>
      <c r="N86" s="74"/>
    </row>
    <row r="87" spans="1:21" s="191" customFormat="1" ht="14.25" customHeight="1" thickBot="1">
      <c r="A87" s="179">
        <v>231</v>
      </c>
      <c r="B87" s="180" t="s">
        <v>42</v>
      </c>
      <c r="C87" s="181"/>
      <c r="D87" s="234" t="s">
        <v>935</v>
      </c>
      <c r="E87" s="221">
        <v>1146.7</v>
      </c>
      <c r="F87" s="222"/>
      <c r="G87" s="223"/>
      <c r="H87" s="223"/>
      <c r="I87" s="223"/>
      <c r="J87" s="223"/>
      <c r="K87" s="224"/>
      <c r="L87" s="186"/>
      <c r="M87" s="186"/>
      <c r="N87" s="186"/>
      <c r="O87" s="187"/>
      <c r="P87" s="187"/>
      <c r="Q87" s="187"/>
      <c r="R87" s="187"/>
      <c r="S87" s="188"/>
      <c r="T87" s="189"/>
      <c r="U87" s="190"/>
    </row>
    <row r="88" spans="1:21" s="20" customFormat="1" ht="14.25" customHeight="1" thickBot="1">
      <c r="A88" s="75">
        <v>231</v>
      </c>
      <c r="B88" s="9" t="s">
        <v>938</v>
      </c>
      <c r="C88" s="93"/>
      <c r="D88" s="241" t="s">
        <v>939</v>
      </c>
      <c r="E88" s="11">
        <v>9818.6</v>
      </c>
      <c r="F88" s="11"/>
      <c r="G88" s="11"/>
      <c r="H88" s="11"/>
      <c r="I88" s="11"/>
      <c r="J88" s="49"/>
      <c r="K88" s="49"/>
      <c r="L88" s="49"/>
      <c r="M88" s="49"/>
      <c r="N88" s="49"/>
      <c r="O88" s="38"/>
      <c r="P88" s="38"/>
      <c r="Q88" s="38"/>
      <c r="R88" s="38"/>
      <c r="S88" s="39"/>
      <c r="T88" s="37"/>
      <c r="U88" s="27"/>
    </row>
    <row r="89" spans="1:21">
      <c r="A89" s="75"/>
    </row>
    <row r="90" spans="1:21">
      <c r="A90" s="75"/>
    </row>
    <row r="91" spans="1:21">
      <c r="A91" s="75"/>
    </row>
    <row r="92" spans="1:21">
      <c r="A92" s="75"/>
    </row>
    <row r="93" spans="1:21">
      <c r="A93" s="75"/>
    </row>
    <row r="94" spans="1:21">
      <c r="A94" s="75"/>
    </row>
    <row r="95" spans="1:21">
      <c r="A95" s="75"/>
    </row>
    <row r="96" spans="1:21">
      <c r="A96" s="75"/>
    </row>
    <row r="97" spans="1:1">
      <c r="A97" s="75"/>
    </row>
    <row r="98" spans="1:1">
      <c r="A98" s="75"/>
    </row>
    <row r="99" spans="1:1">
      <c r="A99" s="75"/>
    </row>
    <row r="100" spans="1:1">
      <c r="A100" s="75"/>
    </row>
    <row r="101" spans="1:1">
      <c r="A101" s="75"/>
    </row>
    <row r="102" spans="1:1">
      <c r="A102" s="75"/>
    </row>
    <row r="103" spans="1:1">
      <c r="A103" s="75"/>
    </row>
    <row r="104" spans="1:1">
      <c r="A104" s="75"/>
    </row>
    <row r="105" spans="1:1">
      <c r="A105" s="75"/>
    </row>
    <row r="106" spans="1:1">
      <c r="A106" s="75"/>
    </row>
    <row r="107" spans="1:1">
      <c r="A107" s="75"/>
    </row>
    <row r="108" spans="1:1">
      <c r="A108" s="75"/>
    </row>
    <row r="109" spans="1:1">
      <c r="A109" s="75"/>
    </row>
    <row r="110" spans="1:1">
      <c r="A110" s="75"/>
    </row>
    <row r="111" spans="1:1">
      <c r="A111" s="75"/>
    </row>
    <row r="112" spans="1:1">
      <c r="A112" s="75"/>
    </row>
    <row r="113" spans="1:1">
      <c r="A113" s="75"/>
    </row>
    <row r="114" spans="1:1">
      <c r="A114" s="75"/>
    </row>
    <row r="115" spans="1:1">
      <c r="A115" s="75"/>
    </row>
    <row r="116" spans="1:1">
      <c r="A116" s="75"/>
    </row>
    <row r="117" spans="1:1">
      <c r="A117" s="75"/>
    </row>
    <row r="118" spans="1:1">
      <c r="A118" s="75"/>
    </row>
    <row r="119" spans="1:1">
      <c r="A119" s="75"/>
    </row>
    <row r="120" spans="1:1">
      <c r="A120" s="75"/>
    </row>
    <row r="121" spans="1:1">
      <c r="A121" s="75"/>
    </row>
    <row r="122" spans="1:1">
      <c r="A122" s="75"/>
    </row>
    <row r="123" spans="1:1">
      <c r="A123" s="75"/>
    </row>
    <row r="124" spans="1:1">
      <c r="A124" s="75"/>
    </row>
    <row r="125" spans="1:1">
      <c r="A125" s="75"/>
    </row>
    <row r="126" spans="1:1">
      <c r="A126" s="75"/>
    </row>
    <row r="127" spans="1:1">
      <c r="A127" s="75"/>
    </row>
    <row r="128" spans="1:1">
      <c r="A128" s="75"/>
    </row>
    <row r="129" spans="1:1">
      <c r="A129" s="75"/>
    </row>
    <row r="130" spans="1:1">
      <c r="A130" s="75"/>
    </row>
    <row r="131" spans="1:1">
      <c r="A131" s="75"/>
    </row>
    <row r="132" spans="1:1">
      <c r="A132" s="75"/>
    </row>
    <row r="133" spans="1:1">
      <c r="A133" s="75"/>
    </row>
    <row r="134" spans="1:1">
      <c r="A134" s="75"/>
    </row>
    <row r="135" spans="1:1">
      <c r="A135" s="75"/>
    </row>
    <row r="136" spans="1:1">
      <c r="A136" s="75"/>
    </row>
    <row r="137" spans="1:1">
      <c r="A137" s="75"/>
    </row>
    <row r="138" spans="1:1">
      <c r="A138" s="75"/>
    </row>
    <row r="139" spans="1:1">
      <c r="A139" s="75"/>
    </row>
    <row r="140" spans="1:1">
      <c r="A140" s="75"/>
    </row>
    <row r="141" spans="1:1">
      <c r="A141" s="75"/>
    </row>
    <row r="142" spans="1:1">
      <c r="A142" s="75"/>
    </row>
    <row r="143" spans="1:1">
      <c r="A143" s="75"/>
    </row>
    <row r="144" spans="1:1">
      <c r="A144" s="75"/>
    </row>
    <row r="145" spans="1:1">
      <c r="A145" s="75"/>
    </row>
    <row r="146" spans="1:1">
      <c r="A146" s="75"/>
    </row>
    <row r="147" spans="1:1">
      <c r="A147" s="75"/>
    </row>
    <row r="148" spans="1:1">
      <c r="A148" s="75"/>
    </row>
    <row r="149" spans="1:1">
      <c r="A149" s="75"/>
    </row>
    <row r="150" spans="1:1">
      <c r="A150" s="75"/>
    </row>
    <row r="151" spans="1:1">
      <c r="A151" s="75"/>
    </row>
    <row r="152" spans="1:1">
      <c r="A152" s="75"/>
    </row>
    <row r="153" spans="1:1">
      <c r="A153" s="75"/>
    </row>
    <row r="154" spans="1:1">
      <c r="A154" s="75"/>
    </row>
    <row r="155" spans="1:1">
      <c r="A155" s="75"/>
    </row>
    <row r="156" spans="1:1">
      <c r="A156" s="75"/>
    </row>
    <row r="157" spans="1:1">
      <c r="A157" s="75"/>
    </row>
    <row r="158" spans="1:1">
      <c r="A158" s="75"/>
    </row>
    <row r="159" spans="1:1">
      <c r="A159" s="75"/>
    </row>
    <row r="160" spans="1:1">
      <c r="A160" s="75"/>
    </row>
    <row r="161" spans="1:1">
      <c r="A161" s="75"/>
    </row>
    <row r="162" spans="1:1">
      <c r="A162" s="75"/>
    </row>
    <row r="163" spans="1:1">
      <c r="A163" s="75"/>
    </row>
    <row r="164" spans="1:1">
      <c r="A164" s="75"/>
    </row>
    <row r="165" spans="1:1">
      <c r="A165" s="75"/>
    </row>
    <row r="166" spans="1:1">
      <c r="A166" s="75"/>
    </row>
    <row r="167" spans="1:1">
      <c r="A167" s="75"/>
    </row>
    <row r="168" spans="1:1">
      <c r="A168" s="75"/>
    </row>
    <row r="169" spans="1:1">
      <c r="A169" s="75"/>
    </row>
    <row r="170" spans="1:1">
      <c r="A170" s="75"/>
    </row>
    <row r="171" spans="1:1">
      <c r="A171" s="75"/>
    </row>
    <row r="172" spans="1:1">
      <c r="A172" s="75"/>
    </row>
    <row r="173" spans="1:1">
      <c r="A173" s="75"/>
    </row>
    <row r="174" spans="1:1">
      <c r="A174" s="75"/>
    </row>
    <row r="175" spans="1:1">
      <c r="A175" s="75"/>
    </row>
    <row r="176" spans="1:1">
      <c r="A176" s="75"/>
    </row>
    <row r="177" spans="1:1">
      <c r="A177" s="75"/>
    </row>
    <row r="178" spans="1:1">
      <c r="A178" s="75"/>
    </row>
    <row r="179" spans="1:1">
      <c r="A179" s="75"/>
    </row>
    <row r="180" spans="1:1">
      <c r="A180" s="75"/>
    </row>
    <row r="181" spans="1:1">
      <c r="A181" s="75"/>
    </row>
    <row r="182" spans="1:1">
      <c r="A182" s="75"/>
    </row>
    <row r="183" spans="1:1">
      <c r="A183" s="75"/>
    </row>
    <row r="184" spans="1:1">
      <c r="A184" s="75"/>
    </row>
    <row r="185" spans="1:1">
      <c r="A185" s="75"/>
    </row>
    <row r="186" spans="1:1">
      <c r="A186" s="75"/>
    </row>
    <row r="187" spans="1:1">
      <c r="A187" s="75"/>
    </row>
    <row r="188" spans="1:1">
      <c r="A188" s="75"/>
    </row>
    <row r="189" spans="1:1">
      <c r="A189" s="75"/>
    </row>
    <row r="190" spans="1:1">
      <c r="A190" s="75"/>
    </row>
    <row r="191" spans="1:1">
      <c r="A191" s="75"/>
    </row>
    <row r="192" spans="1:1">
      <c r="A192" s="75"/>
    </row>
    <row r="193" spans="1:1">
      <c r="A193" s="75">
        <v>231</v>
      </c>
    </row>
    <row r="194" spans="1:1">
      <c r="A194" s="75">
        <v>231</v>
      </c>
    </row>
    <row r="195" spans="1:1">
      <c r="A195" s="75">
        <v>231</v>
      </c>
    </row>
    <row r="196" spans="1:1">
      <c r="A196" s="75">
        <v>231</v>
      </c>
    </row>
    <row r="197" spans="1:1">
      <c r="A197" s="75">
        <v>231</v>
      </c>
    </row>
    <row r="198" spans="1:1">
      <c r="A198" s="75">
        <v>231</v>
      </c>
    </row>
    <row r="199" spans="1:1">
      <c r="A199" s="75">
        <v>231</v>
      </c>
    </row>
    <row r="200" spans="1:1">
      <c r="A200" s="75">
        <v>231</v>
      </c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>
        <v>113</v>
      </c>
    </row>
    <row r="254" spans="1:1">
      <c r="A254" s="11">
        <v>113</v>
      </c>
    </row>
    <row r="255" spans="1:1">
      <c r="A255" s="11">
        <v>113</v>
      </c>
    </row>
    <row r="256" spans="1:1">
      <c r="A256" s="11">
        <v>113</v>
      </c>
    </row>
    <row r="257" spans="1:1">
      <c r="A257" s="11">
        <v>113</v>
      </c>
    </row>
    <row r="258" spans="1:1">
      <c r="A258" s="11">
        <v>113</v>
      </c>
    </row>
    <row r="259" spans="1:1">
      <c r="A259" s="11">
        <v>113</v>
      </c>
    </row>
    <row r="260" spans="1:1">
      <c r="A260" s="11">
        <v>113</v>
      </c>
    </row>
    <row r="261" spans="1:1">
      <c r="A261" s="11">
        <v>113</v>
      </c>
    </row>
    <row r="262" spans="1:1">
      <c r="A262" s="11">
        <v>113</v>
      </c>
    </row>
    <row r="263" spans="1:1">
      <c r="A263" s="11">
        <v>113</v>
      </c>
    </row>
    <row r="264" spans="1:1">
      <c r="A264" s="11">
        <v>113</v>
      </c>
    </row>
    <row r="265" spans="1:1">
      <c r="A265" s="11">
        <v>113</v>
      </c>
    </row>
    <row r="266" spans="1:1">
      <c r="A266" s="11">
        <v>113</v>
      </c>
    </row>
    <row r="267" spans="1:1">
      <c r="A267" s="11">
        <v>113</v>
      </c>
    </row>
    <row r="268" spans="1:1">
      <c r="A268" s="11">
        <v>113</v>
      </c>
    </row>
    <row r="269" spans="1:1">
      <c r="A269" s="11">
        <v>113</v>
      </c>
    </row>
    <row r="270" spans="1:1">
      <c r="A270" s="11">
        <v>113</v>
      </c>
    </row>
    <row r="271" spans="1:1">
      <c r="A271" s="11">
        <v>113</v>
      </c>
    </row>
    <row r="272" spans="1:1">
      <c r="A272" s="11">
        <v>113</v>
      </c>
    </row>
    <row r="273" spans="1:1">
      <c r="A273" s="11">
        <v>113</v>
      </c>
    </row>
    <row r="274" spans="1:1">
      <c r="A274" s="11">
        <v>113</v>
      </c>
    </row>
    <row r="275" spans="1:1">
      <c r="A275" s="11">
        <v>113</v>
      </c>
    </row>
    <row r="276" spans="1:1">
      <c r="A276" s="11">
        <v>113</v>
      </c>
    </row>
    <row r="277" spans="1:1">
      <c r="A277" s="11">
        <v>113</v>
      </c>
    </row>
    <row r="278" spans="1:1">
      <c r="A278" s="11">
        <v>113</v>
      </c>
    </row>
    <row r="279" spans="1:1">
      <c r="A279" s="11">
        <v>113</v>
      </c>
    </row>
    <row r="280" spans="1:1">
      <c r="A280" s="11">
        <v>113</v>
      </c>
    </row>
    <row r="281" spans="1:1">
      <c r="A281" s="11">
        <v>113</v>
      </c>
    </row>
    <row r="282" spans="1:1">
      <c r="A282" s="11">
        <v>113</v>
      </c>
    </row>
    <row r="283" spans="1:1">
      <c r="A283" s="11">
        <v>113</v>
      </c>
    </row>
    <row r="284" spans="1:1">
      <c r="A284" s="11">
        <v>113</v>
      </c>
    </row>
    <row r="285" spans="1:1">
      <c r="A285" s="11">
        <v>113</v>
      </c>
    </row>
    <row r="286" spans="1:1">
      <c r="A286" s="11">
        <v>113</v>
      </c>
    </row>
    <row r="287" spans="1:1">
      <c r="A287" s="11">
        <v>113</v>
      </c>
    </row>
    <row r="288" spans="1:1">
      <c r="A288" s="11">
        <v>113</v>
      </c>
    </row>
    <row r="289" spans="1:1">
      <c r="A289" s="11">
        <v>113</v>
      </c>
    </row>
    <row r="290" spans="1:1">
      <c r="A290" s="11">
        <v>113</v>
      </c>
    </row>
    <row r="291" spans="1:1">
      <c r="A291" s="11">
        <v>113</v>
      </c>
    </row>
    <row r="292" spans="1:1">
      <c r="A292" s="11">
        <v>113</v>
      </c>
    </row>
    <row r="293" spans="1:1">
      <c r="A293" s="11">
        <v>113</v>
      </c>
    </row>
    <row r="294" spans="1:1">
      <c r="A294" s="11">
        <v>113</v>
      </c>
    </row>
    <row r="295" spans="1:1">
      <c r="A295" s="11">
        <v>113</v>
      </c>
    </row>
    <row r="296" spans="1:1">
      <c r="A296" s="11">
        <v>113</v>
      </c>
    </row>
    <row r="297" spans="1:1">
      <c r="A297" s="11">
        <v>113</v>
      </c>
    </row>
    <row r="298" spans="1:1">
      <c r="A298" s="11">
        <v>113</v>
      </c>
    </row>
    <row r="299" spans="1:1">
      <c r="A299" s="11">
        <v>113</v>
      </c>
    </row>
    <row r="300" spans="1:1">
      <c r="A300" s="11">
        <v>113</v>
      </c>
    </row>
    <row r="301" spans="1:1">
      <c r="A301" s="11">
        <v>113</v>
      </c>
    </row>
    <row r="302" spans="1:1">
      <c r="A302" s="11">
        <v>113</v>
      </c>
    </row>
    <row r="303" spans="1:1">
      <c r="A303" s="11">
        <v>113</v>
      </c>
    </row>
    <row r="304" spans="1:1">
      <c r="A304" s="11">
        <v>113</v>
      </c>
    </row>
    <row r="305" spans="1:1">
      <c r="A305" s="11">
        <v>113</v>
      </c>
    </row>
    <row r="306" spans="1:1">
      <c r="A306" s="11">
        <v>113</v>
      </c>
    </row>
    <row r="307" spans="1:1">
      <c r="A307" s="11">
        <v>113</v>
      </c>
    </row>
    <row r="308" spans="1:1">
      <c r="A308" s="11">
        <v>113</v>
      </c>
    </row>
    <row r="309" spans="1:1">
      <c r="A309" s="11">
        <v>113</v>
      </c>
    </row>
    <row r="310" spans="1:1">
      <c r="A310" s="11">
        <v>113</v>
      </c>
    </row>
    <row r="311" spans="1:1">
      <c r="A311" s="11">
        <v>113</v>
      </c>
    </row>
    <row r="312" spans="1:1">
      <c r="A312" s="11">
        <v>113</v>
      </c>
    </row>
    <row r="313" spans="1:1">
      <c r="A313" s="11">
        <v>113</v>
      </c>
    </row>
    <row r="314" spans="1:1">
      <c r="A314" s="11">
        <v>113</v>
      </c>
    </row>
    <row r="315" spans="1:1">
      <c r="A315" s="11">
        <v>113</v>
      </c>
    </row>
    <row r="316" spans="1:1">
      <c r="A316" s="11">
        <v>113</v>
      </c>
    </row>
    <row r="317" spans="1:1">
      <c r="A317" s="11">
        <v>113</v>
      </c>
    </row>
    <row r="318" spans="1:1">
      <c r="A318" s="11">
        <v>113</v>
      </c>
    </row>
    <row r="319" spans="1:1">
      <c r="A319" s="11">
        <v>113</v>
      </c>
    </row>
    <row r="320" spans="1:1">
      <c r="A320" s="11">
        <v>113</v>
      </c>
    </row>
    <row r="321" spans="1:1">
      <c r="A321" s="11">
        <v>113</v>
      </c>
    </row>
    <row r="322" spans="1:1">
      <c r="A322" s="11">
        <v>113</v>
      </c>
    </row>
    <row r="323" spans="1:1">
      <c r="A323" s="11">
        <v>113</v>
      </c>
    </row>
    <row r="324" spans="1:1">
      <c r="A324" s="11">
        <v>113</v>
      </c>
    </row>
    <row r="325" spans="1:1">
      <c r="A325" s="11">
        <v>113</v>
      </c>
    </row>
    <row r="326" spans="1:1">
      <c r="A326" s="11">
        <v>113</v>
      </c>
    </row>
    <row r="327" spans="1:1">
      <c r="A327" s="11">
        <v>113</v>
      </c>
    </row>
    <row r="328" spans="1:1">
      <c r="A328" s="11">
        <v>113</v>
      </c>
    </row>
    <row r="329" spans="1:1">
      <c r="A329" s="11">
        <v>113</v>
      </c>
    </row>
    <row r="330" spans="1:1">
      <c r="A330" s="11">
        <v>113</v>
      </c>
    </row>
    <row r="331" spans="1:1">
      <c r="A331" s="11">
        <v>113</v>
      </c>
    </row>
    <row r="332" spans="1:1">
      <c r="A332" s="11">
        <v>113</v>
      </c>
    </row>
    <row r="333" spans="1:1">
      <c r="A333" s="11">
        <v>113</v>
      </c>
    </row>
    <row r="334" spans="1:1">
      <c r="A334" s="11">
        <v>113</v>
      </c>
    </row>
    <row r="335" spans="1:1">
      <c r="A335" s="11">
        <v>113</v>
      </c>
    </row>
    <row r="336" spans="1:1">
      <c r="A336" s="11">
        <v>113</v>
      </c>
    </row>
    <row r="337" spans="1:1">
      <c r="A337" s="11">
        <v>113</v>
      </c>
    </row>
    <row r="338" spans="1:1">
      <c r="A338" s="11">
        <v>113</v>
      </c>
    </row>
    <row r="339" spans="1:1">
      <c r="A339" s="11">
        <v>113</v>
      </c>
    </row>
    <row r="340" spans="1:1">
      <c r="A340" s="11">
        <v>113</v>
      </c>
    </row>
    <row r="341" spans="1:1">
      <c r="A341" s="11">
        <v>113</v>
      </c>
    </row>
    <row r="342" spans="1:1">
      <c r="A342" s="11">
        <v>113</v>
      </c>
    </row>
    <row r="343" spans="1:1">
      <c r="A343" s="11">
        <v>113</v>
      </c>
    </row>
    <row r="344" spans="1:1">
      <c r="A344" s="11">
        <v>113</v>
      </c>
    </row>
    <row r="345" spans="1:1">
      <c r="A345" s="11">
        <v>113</v>
      </c>
    </row>
    <row r="346" spans="1:1">
      <c r="A346" s="11">
        <v>113</v>
      </c>
    </row>
    <row r="347" spans="1:1">
      <c r="A347" s="11">
        <v>113</v>
      </c>
    </row>
    <row r="348" spans="1:1">
      <c r="A348" s="11">
        <v>113</v>
      </c>
    </row>
    <row r="349" spans="1:1">
      <c r="A349" s="11">
        <v>113</v>
      </c>
    </row>
    <row r="350" spans="1:1">
      <c r="A350" s="11">
        <v>113</v>
      </c>
    </row>
    <row r="351" spans="1:1">
      <c r="A351" s="11">
        <v>113</v>
      </c>
    </row>
    <row r="352" spans="1:1">
      <c r="A352" s="11">
        <v>113</v>
      </c>
    </row>
    <row r="353" spans="1:1">
      <c r="A353" s="11">
        <v>113</v>
      </c>
    </row>
    <row r="354" spans="1:1">
      <c r="A354" s="11">
        <v>113</v>
      </c>
    </row>
    <row r="355" spans="1:1">
      <c r="A355" s="11">
        <v>113</v>
      </c>
    </row>
    <row r="356" spans="1:1">
      <c r="A356" s="11">
        <v>113</v>
      </c>
    </row>
    <row r="357" spans="1:1">
      <c r="A357" s="11">
        <v>113</v>
      </c>
    </row>
    <row r="358" spans="1:1">
      <c r="A358" s="11">
        <v>113</v>
      </c>
    </row>
    <row r="359" spans="1:1">
      <c r="A359" s="11">
        <v>113</v>
      </c>
    </row>
    <row r="360" spans="1:1">
      <c r="A360" s="11">
        <v>113</v>
      </c>
    </row>
    <row r="361" spans="1:1">
      <c r="A361" s="11">
        <v>113</v>
      </c>
    </row>
    <row r="362" spans="1:1">
      <c r="A362" s="11">
        <v>113</v>
      </c>
    </row>
    <row r="363" spans="1:1">
      <c r="A363" s="11">
        <v>113</v>
      </c>
    </row>
    <row r="364" spans="1:1">
      <c r="A364" s="11">
        <v>113</v>
      </c>
    </row>
    <row r="365" spans="1:1">
      <c r="A365" s="11">
        <v>113</v>
      </c>
    </row>
    <row r="366" spans="1:1">
      <c r="A366" s="11">
        <v>113</v>
      </c>
    </row>
    <row r="367" spans="1:1">
      <c r="A367" s="11">
        <v>113</v>
      </c>
    </row>
    <row r="368" spans="1:1">
      <c r="A368" s="11">
        <v>113</v>
      </c>
    </row>
    <row r="369" spans="1:1">
      <c r="A369" s="11">
        <v>113</v>
      </c>
    </row>
    <row r="370" spans="1:1">
      <c r="A370" s="11">
        <v>113</v>
      </c>
    </row>
    <row r="371" spans="1:1">
      <c r="A371" s="11">
        <v>113</v>
      </c>
    </row>
    <row r="372" spans="1:1">
      <c r="A372" s="11">
        <v>113</v>
      </c>
    </row>
    <row r="373" spans="1:1">
      <c r="A373" s="11">
        <v>113</v>
      </c>
    </row>
    <row r="374" spans="1:1">
      <c r="A374" s="11">
        <v>113</v>
      </c>
    </row>
    <row r="375" spans="1:1">
      <c r="A375" s="11">
        <v>113</v>
      </c>
    </row>
    <row r="376" spans="1:1">
      <c r="A376" s="11">
        <v>113</v>
      </c>
    </row>
    <row r="377" spans="1:1">
      <c r="A377" s="11">
        <v>113</v>
      </c>
    </row>
    <row r="378" spans="1:1">
      <c r="A378" s="11">
        <v>113</v>
      </c>
    </row>
    <row r="379" spans="1:1">
      <c r="A379" s="11">
        <v>113</v>
      </c>
    </row>
    <row r="380" spans="1:1">
      <c r="A380" s="11">
        <v>113</v>
      </c>
    </row>
    <row r="381" spans="1:1">
      <c r="A381" s="11">
        <v>113</v>
      </c>
    </row>
    <row r="382" spans="1:1">
      <c r="A382" s="11">
        <v>113</v>
      </c>
    </row>
    <row r="383" spans="1:1">
      <c r="A383" s="11">
        <v>113</v>
      </c>
    </row>
    <row r="384" spans="1:1">
      <c r="A384" s="11">
        <v>113</v>
      </c>
    </row>
    <row r="385" spans="1:1">
      <c r="A385" s="11">
        <v>113</v>
      </c>
    </row>
    <row r="386" spans="1:1">
      <c r="A386" s="11">
        <v>113</v>
      </c>
    </row>
    <row r="387" spans="1:1">
      <c r="A387" s="11">
        <v>113</v>
      </c>
    </row>
    <row r="388" spans="1:1">
      <c r="A388" s="11">
        <v>113</v>
      </c>
    </row>
    <row r="389" spans="1:1">
      <c r="A389" s="11">
        <v>113</v>
      </c>
    </row>
    <row r="390" spans="1:1">
      <c r="A390" s="11">
        <v>113</v>
      </c>
    </row>
    <row r="391" spans="1:1">
      <c r="A391" s="11">
        <v>113</v>
      </c>
    </row>
    <row r="392" spans="1:1">
      <c r="A392" s="11">
        <v>113</v>
      </c>
    </row>
    <row r="393" spans="1:1">
      <c r="A393" s="11">
        <v>113</v>
      </c>
    </row>
    <row r="394" spans="1:1">
      <c r="A394" s="11">
        <v>113</v>
      </c>
    </row>
    <row r="395" spans="1:1">
      <c r="A395" s="11">
        <v>113</v>
      </c>
    </row>
    <row r="396" spans="1:1">
      <c r="A396" s="11">
        <v>113</v>
      </c>
    </row>
    <row r="397" spans="1:1">
      <c r="A397" s="11">
        <v>113</v>
      </c>
    </row>
    <row r="398" spans="1:1">
      <c r="A398" s="11">
        <v>113</v>
      </c>
    </row>
    <row r="399" spans="1:1">
      <c r="A399" s="11">
        <v>113</v>
      </c>
    </row>
    <row r="400" spans="1:1">
      <c r="A400" s="11">
        <v>113</v>
      </c>
    </row>
    <row r="401" spans="1:1">
      <c r="A401" s="11">
        <v>113</v>
      </c>
    </row>
    <row r="402" spans="1:1">
      <c r="A402" s="11">
        <v>113</v>
      </c>
    </row>
    <row r="403" spans="1:1">
      <c r="A403" s="11">
        <v>113</v>
      </c>
    </row>
    <row r="404" spans="1:1">
      <c r="A404" s="11">
        <v>113</v>
      </c>
    </row>
    <row r="405" spans="1:1">
      <c r="A405" s="11">
        <v>113</v>
      </c>
    </row>
    <row r="406" spans="1:1">
      <c r="A406" s="11">
        <v>113</v>
      </c>
    </row>
    <row r="407" spans="1:1">
      <c r="A407" s="11">
        <v>113</v>
      </c>
    </row>
    <row r="408" spans="1:1">
      <c r="A408" s="11">
        <v>113</v>
      </c>
    </row>
    <row r="409" spans="1:1">
      <c r="A409" s="11">
        <v>113</v>
      </c>
    </row>
    <row r="410" spans="1:1">
      <c r="A410" s="11">
        <v>113</v>
      </c>
    </row>
    <row r="411" spans="1:1">
      <c r="A411" s="11">
        <v>113</v>
      </c>
    </row>
    <row r="412" spans="1:1">
      <c r="A412" s="11">
        <v>113</v>
      </c>
    </row>
    <row r="413" spans="1:1">
      <c r="A413" s="11">
        <v>113</v>
      </c>
    </row>
    <row r="414" spans="1:1">
      <c r="A414" s="11">
        <v>113</v>
      </c>
    </row>
    <row r="415" spans="1:1">
      <c r="A415" s="11">
        <v>113</v>
      </c>
    </row>
    <row r="416" spans="1:1">
      <c r="A416" s="11">
        <v>113</v>
      </c>
    </row>
    <row r="417" spans="1:1">
      <c r="A417" s="11">
        <v>113</v>
      </c>
    </row>
    <row r="418" spans="1:1">
      <c r="A418" s="11">
        <v>113</v>
      </c>
    </row>
    <row r="419" spans="1:1">
      <c r="A419" s="11">
        <v>113</v>
      </c>
    </row>
    <row r="420" spans="1:1">
      <c r="A420" s="11">
        <v>113</v>
      </c>
    </row>
    <row r="421" spans="1:1">
      <c r="A421" s="11">
        <v>113</v>
      </c>
    </row>
    <row r="422" spans="1:1">
      <c r="A422" s="11">
        <v>113</v>
      </c>
    </row>
    <row r="423" spans="1:1">
      <c r="A423" s="11">
        <v>113</v>
      </c>
    </row>
    <row r="424" spans="1:1">
      <c r="A424" s="11">
        <v>113</v>
      </c>
    </row>
    <row r="425" spans="1:1">
      <c r="A425" s="11">
        <v>113</v>
      </c>
    </row>
    <row r="426" spans="1:1">
      <c r="A426" s="11">
        <v>113</v>
      </c>
    </row>
    <row r="427" spans="1:1">
      <c r="A427" s="11">
        <v>113</v>
      </c>
    </row>
    <row r="428" spans="1:1">
      <c r="A428" s="11">
        <v>113</v>
      </c>
    </row>
    <row r="429" spans="1:1">
      <c r="A429" s="11">
        <v>113</v>
      </c>
    </row>
    <row r="430" spans="1:1">
      <c r="A430" s="11">
        <v>113</v>
      </c>
    </row>
    <row r="431" spans="1:1">
      <c r="A431" s="11">
        <v>113</v>
      </c>
    </row>
    <row r="432" spans="1:1">
      <c r="A432" s="11">
        <v>113</v>
      </c>
    </row>
    <row r="433" spans="1:1">
      <c r="A433" s="11">
        <v>113</v>
      </c>
    </row>
    <row r="434" spans="1:1">
      <c r="A434" s="11">
        <v>113</v>
      </c>
    </row>
    <row r="435" spans="1:1">
      <c r="A435" s="11">
        <v>113</v>
      </c>
    </row>
    <row r="436" spans="1:1">
      <c r="A436" s="11">
        <v>113</v>
      </c>
    </row>
    <row r="437" spans="1:1">
      <c r="A437" s="11">
        <v>113</v>
      </c>
    </row>
    <row r="438" spans="1:1">
      <c r="A438" s="11">
        <v>113</v>
      </c>
    </row>
    <row r="439" spans="1:1">
      <c r="A439" s="11">
        <v>113</v>
      </c>
    </row>
    <row r="440" spans="1:1">
      <c r="A440" s="11">
        <v>113</v>
      </c>
    </row>
    <row r="441" spans="1:1">
      <c r="A441" s="11">
        <v>113</v>
      </c>
    </row>
    <row r="442" spans="1:1">
      <c r="A442" s="11">
        <v>113</v>
      </c>
    </row>
    <row r="443" spans="1:1">
      <c r="A443" s="11">
        <v>113</v>
      </c>
    </row>
    <row r="444" spans="1:1">
      <c r="A444" s="11">
        <v>113</v>
      </c>
    </row>
    <row r="445" spans="1:1">
      <c r="A445" s="11">
        <v>113</v>
      </c>
    </row>
    <row r="446" spans="1:1">
      <c r="A446" s="11">
        <v>113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opLeftCell="A16" workbookViewId="0">
      <selection activeCell="D38" sqref="D38"/>
    </sheetView>
  </sheetViews>
  <sheetFormatPr defaultRowHeight="14.4"/>
  <cols>
    <col min="4" max="4" width="24.21875" customWidth="1"/>
    <col min="5" max="5" width="12.77734375" customWidth="1"/>
    <col min="6" max="6" width="11.21875" customWidth="1"/>
  </cols>
  <sheetData>
    <row r="1" spans="1:17" ht="14.25" customHeight="1">
      <c r="A1" s="74"/>
      <c r="B1" s="74"/>
      <c r="C1" s="74"/>
      <c r="D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  <c r="P1" s="32"/>
      <c r="Q1" s="25"/>
    </row>
    <row r="2" spans="1:17" ht="14.25" customHeight="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74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17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74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32"/>
      <c r="Q3" s="25"/>
    </row>
    <row r="4" spans="1:17">
      <c r="A4" s="75">
        <v>231</v>
      </c>
      <c r="B4" s="86" t="s">
        <v>1271</v>
      </c>
      <c r="C4" s="226" t="s">
        <v>1256</v>
      </c>
      <c r="D4" s="278" t="s">
        <v>1272</v>
      </c>
      <c r="E4" s="226" t="s">
        <v>1256</v>
      </c>
      <c r="F4" s="226" t="s">
        <v>1256</v>
      </c>
      <c r="G4" s="226" t="s">
        <v>1256</v>
      </c>
      <c r="H4" s="226" t="s">
        <v>1256</v>
      </c>
      <c r="I4" s="226" t="s">
        <v>1256</v>
      </c>
      <c r="J4" s="226" t="s">
        <v>1256</v>
      </c>
      <c r="K4" s="74"/>
      <c r="L4" s="74"/>
      <c r="M4" s="74"/>
      <c r="N4" s="74"/>
      <c r="O4" s="74"/>
      <c r="P4" s="277"/>
      <c r="Q4" s="25"/>
    </row>
    <row r="5" spans="1:17">
      <c r="A5" s="75">
        <v>232</v>
      </c>
      <c r="B5" s="86" t="s">
        <v>783</v>
      </c>
      <c r="C5" s="119">
        <v>101</v>
      </c>
      <c r="D5" s="87" t="s">
        <v>856</v>
      </c>
      <c r="E5">
        <v>19.2</v>
      </c>
      <c r="F5" s="86" t="s">
        <v>1253</v>
      </c>
      <c r="G5" s="86" t="s">
        <v>1254</v>
      </c>
      <c r="H5" s="86" t="s">
        <v>1255</v>
      </c>
      <c r="I5" s="86" t="s">
        <v>1256</v>
      </c>
      <c r="J5" s="86" t="s">
        <v>1257</v>
      </c>
    </row>
    <row r="6" spans="1:17">
      <c r="A6" s="75">
        <v>232</v>
      </c>
      <c r="B6" s="86" t="s">
        <v>783</v>
      </c>
      <c r="C6" s="119">
        <v>102</v>
      </c>
      <c r="D6" s="87" t="s">
        <v>857</v>
      </c>
      <c r="E6">
        <v>142.30000000000001</v>
      </c>
      <c r="F6" s="86" t="s">
        <v>1258</v>
      </c>
      <c r="G6" s="86" t="s">
        <v>1254</v>
      </c>
      <c r="H6" s="86" t="s">
        <v>1255</v>
      </c>
      <c r="I6" s="86" t="s">
        <v>1256</v>
      </c>
      <c r="J6" s="86" t="s">
        <v>1259</v>
      </c>
    </row>
    <row r="7" spans="1:17">
      <c r="A7" s="75">
        <v>232</v>
      </c>
      <c r="B7" s="86" t="s">
        <v>783</v>
      </c>
      <c r="C7" s="119">
        <v>103</v>
      </c>
      <c r="D7" s="87" t="s">
        <v>858</v>
      </c>
      <c r="E7">
        <v>12.9</v>
      </c>
      <c r="F7" s="86" t="s">
        <v>1258</v>
      </c>
      <c r="G7" s="86" t="s">
        <v>1254</v>
      </c>
      <c r="H7" s="86" t="s">
        <v>1255</v>
      </c>
      <c r="I7" s="86" t="s">
        <v>1256</v>
      </c>
      <c r="J7" s="86" t="s">
        <v>1259</v>
      </c>
    </row>
    <row r="8" spans="1:17">
      <c r="A8" s="75">
        <v>232</v>
      </c>
      <c r="B8" s="86" t="s">
        <v>783</v>
      </c>
      <c r="C8" s="119">
        <v>105</v>
      </c>
      <c r="D8" s="87" t="s">
        <v>856</v>
      </c>
      <c r="E8">
        <v>19.2</v>
      </c>
      <c r="F8" s="86" t="s">
        <v>1253</v>
      </c>
      <c r="G8" s="86" t="s">
        <v>1254</v>
      </c>
      <c r="H8" s="86" t="s">
        <v>1255</v>
      </c>
      <c r="I8" s="86" t="s">
        <v>1256</v>
      </c>
      <c r="J8" s="86" t="s">
        <v>1257</v>
      </c>
    </row>
    <row r="9" spans="1:17">
      <c r="A9" s="75">
        <v>232</v>
      </c>
      <c r="B9" s="86" t="s">
        <v>783</v>
      </c>
      <c r="C9" s="119">
        <v>106</v>
      </c>
      <c r="D9" s="87" t="s">
        <v>859</v>
      </c>
      <c r="E9">
        <v>13</v>
      </c>
      <c r="F9" s="86" t="s">
        <v>1260</v>
      </c>
      <c r="G9" s="86" t="s">
        <v>1262</v>
      </c>
      <c r="H9" s="86" t="s">
        <v>1263</v>
      </c>
      <c r="I9" s="86" t="s">
        <v>1256</v>
      </c>
      <c r="J9" s="86" t="s">
        <v>1257</v>
      </c>
    </row>
    <row r="10" spans="1:17">
      <c r="A10" s="75">
        <v>232</v>
      </c>
      <c r="B10" s="86" t="s">
        <v>783</v>
      </c>
      <c r="C10" s="119">
        <v>107</v>
      </c>
      <c r="D10" s="319" t="s">
        <v>1325</v>
      </c>
      <c r="E10">
        <v>30.9</v>
      </c>
      <c r="F10" s="86" t="s">
        <v>1260</v>
      </c>
      <c r="G10" s="86" t="s">
        <v>1262</v>
      </c>
      <c r="H10" s="86" t="s">
        <v>1261</v>
      </c>
      <c r="I10">
        <v>5000</v>
      </c>
      <c r="J10" s="86" t="s">
        <v>1256</v>
      </c>
    </row>
    <row r="11" spans="1:17">
      <c r="A11" s="75">
        <v>232</v>
      </c>
      <c r="B11" s="86" t="s">
        <v>783</v>
      </c>
      <c r="C11" s="119">
        <v>108</v>
      </c>
      <c r="D11" s="319" t="s">
        <v>1325</v>
      </c>
      <c r="E11">
        <v>32.200000000000003</v>
      </c>
      <c r="F11" s="86" t="s">
        <v>1260</v>
      </c>
      <c r="G11" s="86" t="s">
        <v>1264</v>
      </c>
      <c r="H11" s="86" t="s">
        <v>1261</v>
      </c>
      <c r="I11">
        <v>5000</v>
      </c>
      <c r="J11" s="86" t="s">
        <v>1256</v>
      </c>
    </row>
    <row r="12" spans="1:17">
      <c r="A12" s="75">
        <v>232</v>
      </c>
      <c r="B12" s="86" t="s">
        <v>783</v>
      </c>
      <c r="C12" s="119">
        <v>109</v>
      </c>
      <c r="D12" s="319" t="s">
        <v>1325</v>
      </c>
      <c r="E12">
        <v>61.6</v>
      </c>
      <c r="F12" s="86" t="s">
        <v>1260</v>
      </c>
      <c r="G12" s="86" t="s">
        <v>1264</v>
      </c>
      <c r="H12" s="86" t="s">
        <v>1261</v>
      </c>
      <c r="I12">
        <v>6400</v>
      </c>
      <c r="J12" s="86" t="s">
        <v>1256</v>
      </c>
    </row>
    <row r="13" spans="1:17">
      <c r="A13" s="75">
        <v>232</v>
      </c>
      <c r="B13" s="86" t="s">
        <v>783</v>
      </c>
      <c r="C13" s="119">
        <v>110</v>
      </c>
      <c r="D13" s="319" t="s">
        <v>1325</v>
      </c>
      <c r="E13">
        <v>58.1</v>
      </c>
      <c r="F13" s="86" t="s">
        <v>1260</v>
      </c>
      <c r="G13" s="86" t="s">
        <v>1264</v>
      </c>
      <c r="H13" s="86" t="s">
        <v>1261</v>
      </c>
      <c r="I13">
        <v>6400</v>
      </c>
      <c r="J13" s="86" t="s">
        <v>1256</v>
      </c>
    </row>
    <row r="14" spans="1:17">
      <c r="A14" s="75">
        <v>232</v>
      </c>
      <c r="B14" s="86" t="s">
        <v>783</v>
      </c>
      <c r="C14" s="119">
        <v>111</v>
      </c>
      <c r="D14" s="319" t="s">
        <v>1325</v>
      </c>
      <c r="E14">
        <v>58.1</v>
      </c>
      <c r="F14" s="86" t="s">
        <v>1260</v>
      </c>
      <c r="G14" s="86" t="s">
        <v>1264</v>
      </c>
      <c r="H14" s="86" t="s">
        <v>1261</v>
      </c>
      <c r="I14">
        <v>6400</v>
      </c>
      <c r="J14" s="86" t="s">
        <v>1256</v>
      </c>
    </row>
    <row r="15" spans="1:17">
      <c r="A15" s="75">
        <v>232</v>
      </c>
      <c r="B15" s="86" t="s">
        <v>783</v>
      </c>
      <c r="C15" s="119">
        <v>112</v>
      </c>
      <c r="D15" s="87" t="s">
        <v>860</v>
      </c>
      <c r="E15">
        <v>59.6</v>
      </c>
      <c r="F15" s="86" t="s">
        <v>1260</v>
      </c>
      <c r="G15" s="86" t="s">
        <v>1264</v>
      </c>
      <c r="H15" s="86" t="s">
        <v>1263</v>
      </c>
      <c r="I15" s="86" t="s">
        <v>1256</v>
      </c>
      <c r="J15" s="86" t="s">
        <v>1256</v>
      </c>
    </row>
    <row r="16" spans="1:17">
      <c r="A16" s="75">
        <v>232</v>
      </c>
      <c r="B16" s="86" t="s">
        <v>783</v>
      </c>
      <c r="C16" s="119">
        <v>113</v>
      </c>
      <c r="D16" s="87" t="s">
        <v>676</v>
      </c>
      <c r="E16">
        <v>99.5</v>
      </c>
      <c r="F16" s="86" t="s">
        <v>1260</v>
      </c>
      <c r="G16" s="86" t="s">
        <v>1264</v>
      </c>
      <c r="H16" s="86" t="s">
        <v>1263</v>
      </c>
      <c r="I16" s="86" t="s">
        <v>1256</v>
      </c>
      <c r="J16" s="86" t="s">
        <v>1265</v>
      </c>
    </row>
    <row r="17" spans="1:21">
      <c r="A17" s="75">
        <v>232</v>
      </c>
      <c r="B17" s="86" t="s">
        <v>783</v>
      </c>
      <c r="C17" s="119">
        <v>115</v>
      </c>
      <c r="D17" s="87" t="s">
        <v>861</v>
      </c>
      <c r="E17">
        <v>16.7</v>
      </c>
      <c r="F17" s="86" t="s">
        <v>1266</v>
      </c>
      <c r="G17" s="86" t="s">
        <v>1254</v>
      </c>
      <c r="H17" s="86" t="s">
        <v>1255</v>
      </c>
      <c r="I17" s="86" t="s">
        <v>1256</v>
      </c>
      <c r="J17" s="86" t="s">
        <v>1257</v>
      </c>
    </row>
    <row r="18" spans="1:21">
      <c r="A18" s="75">
        <v>232</v>
      </c>
      <c r="B18" s="86" t="s">
        <v>783</v>
      </c>
      <c r="C18" s="119">
        <v>116</v>
      </c>
      <c r="D18" s="87" t="s">
        <v>862</v>
      </c>
      <c r="E18">
        <v>272.2</v>
      </c>
      <c r="F18" s="86" t="s">
        <v>1266</v>
      </c>
      <c r="G18" s="86" t="s">
        <v>1254</v>
      </c>
      <c r="H18" s="86" t="s">
        <v>1255</v>
      </c>
      <c r="I18" s="86" t="s">
        <v>1256</v>
      </c>
      <c r="J18" s="86" t="s">
        <v>1257</v>
      </c>
    </row>
    <row r="19" spans="1:21">
      <c r="A19" s="75">
        <v>232</v>
      </c>
      <c r="B19" s="86" t="s">
        <v>783</v>
      </c>
      <c r="C19" s="119">
        <v>117</v>
      </c>
      <c r="D19" s="162" t="s">
        <v>1326</v>
      </c>
      <c r="E19">
        <v>8.3000000000000007</v>
      </c>
      <c r="F19" s="86" t="s">
        <v>1256</v>
      </c>
      <c r="G19" s="86" t="s">
        <v>1256</v>
      </c>
      <c r="H19" s="86" t="s">
        <v>1256</v>
      </c>
      <c r="I19" s="86" t="s">
        <v>1256</v>
      </c>
      <c r="J19" s="86" t="s">
        <v>1256</v>
      </c>
    </row>
    <row r="20" spans="1:21">
      <c r="A20" s="75">
        <v>232</v>
      </c>
      <c r="B20" s="86" t="s">
        <v>783</v>
      </c>
      <c r="C20" s="119">
        <v>118</v>
      </c>
      <c r="D20" s="87" t="s">
        <v>861</v>
      </c>
      <c r="E20">
        <v>29.8</v>
      </c>
      <c r="F20" s="86" t="s">
        <v>1266</v>
      </c>
      <c r="G20" s="86" t="s">
        <v>1254</v>
      </c>
      <c r="H20" s="86" t="s">
        <v>1255</v>
      </c>
      <c r="I20" s="86" t="s">
        <v>1256</v>
      </c>
      <c r="J20" s="86" t="s">
        <v>1256</v>
      </c>
    </row>
    <row r="21" spans="1:21" ht="15" thickBot="1">
      <c r="A21" s="75">
        <v>232</v>
      </c>
      <c r="B21" s="86" t="s">
        <v>783</v>
      </c>
      <c r="C21" s="119">
        <v>119</v>
      </c>
      <c r="D21" s="87" t="s">
        <v>863</v>
      </c>
      <c r="E21">
        <v>20.6</v>
      </c>
      <c r="F21" s="86" t="s">
        <v>1260</v>
      </c>
      <c r="G21" s="86" t="s">
        <v>1264</v>
      </c>
      <c r="H21" s="86" t="s">
        <v>1263</v>
      </c>
      <c r="I21" s="86" t="s">
        <v>1256</v>
      </c>
      <c r="J21" s="86" t="s">
        <v>1256</v>
      </c>
    </row>
    <row r="22" spans="1:21" s="191" customFormat="1" ht="14.25" customHeight="1" thickBot="1">
      <c r="A22" s="179">
        <v>232</v>
      </c>
      <c r="B22" s="180" t="s">
        <v>1151</v>
      </c>
      <c r="C22" s="181"/>
      <c r="D22" s="234" t="s">
        <v>935</v>
      </c>
      <c r="E22" s="221">
        <v>1042.5</v>
      </c>
      <c r="F22" s="222"/>
      <c r="G22" s="223"/>
      <c r="H22" s="223"/>
      <c r="I22" s="223"/>
      <c r="J22" s="223"/>
      <c r="K22" s="224"/>
      <c r="L22" s="186"/>
      <c r="M22" s="186"/>
      <c r="N22" s="186"/>
      <c r="O22" s="187"/>
      <c r="P22" s="187"/>
      <c r="Q22" s="187"/>
      <c r="R22" s="187"/>
      <c r="S22" s="188"/>
      <c r="T22" s="189"/>
      <c r="U22" s="190"/>
    </row>
    <row r="23" spans="1:21">
      <c r="A23" s="75">
        <v>232</v>
      </c>
      <c r="B23" s="86" t="s">
        <v>854</v>
      </c>
      <c r="C23" s="119">
        <v>201</v>
      </c>
      <c r="D23" s="87" t="s">
        <v>864</v>
      </c>
      <c r="E23">
        <v>23.1</v>
      </c>
      <c r="F23" s="86" t="s">
        <v>1253</v>
      </c>
      <c r="G23" s="86" t="s">
        <v>1254</v>
      </c>
      <c r="H23" s="86" t="s">
        <v>1255</v>
      </c>
      <c r="I23" s="86" t="s">
        <v>1256</v>
      </c>
      <c r="J23" s="86" t="s">
        <v>1257</v>
      </c>
    </row>
    <row r="24" spans="1:21">
      <c r="A24" s="75">
        <v>232</v>
      </c>
      <c r="B24" s="86" t="s">
        <v>854</v>
      </c>
      <c r="C24" s="119">
        <v>202</v>
      </c>
      <c r="D24" s="87" t="s">
        <v>845</v>
      </c>
      <c r="E24">
        <v>21.6</v>
      </c>
      <c r="F24" s="86" t="s">
        <v>1258</v>
      </c>
      <c r="G24" s="86" t="s">
        <v>1254</v>
      </c>
      <c r="H24" s="86" t="s">
        <v>1267</v>
      </c>
      <c r="I24">
        <v>3000</v>
      </c>
      <c r="J24" s="86" t="s">
        <v>1259</v>
      </c>
    </row>
    <row r="25" spans="1:21">
      <c r="A25" s="75">
        <v>232</v>
      </c>
      <c r="B25" s="86" t="s">
        <v>854</v>
      </c>
      <c r="C25" s="119">
        <v>203</v>
      </c>
      <c r="D25" s="87" t="s">
        <v>865</v>
      </c>
      <c r="E25">
        <v>132.30000000000001</v>
      </c>
      <c r="F25" s="86" t="s">
        <v>1266</v>
      </c>
      <c r="G25" s="86" t="s">
        <v>1254</v>
      </c>
      <c r="H25" s="86" t="s">
        <v>1255</v>
      </c>
      <c r="I25" s="86" t="s">
        <v>1256</v>
      </c>
      <c r="J25" s="86" t="s">
        <v>1257</v>
      </c>
    </row>
    <row r="26" spans="1:21">
      <c r="A26" s="75">
        <v>232</v>
      </c>
      <c r="B26" s="86" t="s">
        <v>854</v>
      </c>
      <c r="C26" s="119" t="s">
        <v>868</v>
      </c>
      <c r="D26" s="87" t="s">
        <v>621</v>
      </c>
      <c r="E26">
        <v>4</v>
      </c>
      <c r="F26" s="86" t="s">
        <v>1258</v>
      </c>
      <c r="G26" s="86" t="s">
        <v>1254</v>
      </c>
      <c r="H26" s="86" t="s">
        <v>1269</v>
      </c>
      <c r="I26" s="86" t="s">
        <v>1256</v>
      </c>
      <c r="J26" s="86" t="s">
        <v>1268</v>
      </c>
    </row>
    <row r="27" spans="1:21">
      <c r="A27" s="75">
        <v>232</v>
      </c>
      <c r="B27" s="86" t="s">
        <v>854</v>
      </c>
      <c r="C27" s="119">
        <v>205</v>
      </c>
      <c r="D27" s="87" t="s">
        <v>866</v>
      </c>
      <c r="E27">
        <v>46.2</v>
      </c>
      <c r="F27" s="86" t="s">
        <v>1258</v>
      </c>
      <c r="G27" s="86" t="s">
        <v>1254</v>
      </c>
      <c r="H27" s="86" t="s">
        <v>1269</v>
      </c>
      <c r="I27" s="86" t="s">
        <v>1256</v>
      </c>
      <c r="J27" s="86" t="s">
        <v>1268</v>
      </c>
    </row>
    <row r="28" spans="1:21">
      <c r="A28" s="75">
        <v>232</v>
      </c>
      <c r="B28" s="86" t="s">
        <v>869</v>
      </c>
      <c r="C28" s="119">
        <v>206</v>
      </c>
      <c r="D28" s="162" t="s">
        <v>1150</v>
      </c>
      <c r="E28">
        <v>8.3000000000000007</v>
      </c>
      <c r="F28" s="86" t="s">
        <v>1256</v>
      </c>
      <c r="G28" s="86" t="s">
        <v>1256</v>
      </c>
      <c r="H28" s="86" t="s">
        <v>1256</v>
      </c>
      <c r="I28" s="86" t="s">
        <v>1256</v>
      </c>
      <c r="J28" s="86" t="s">
        <v>1256</v>
      </c>
    </row>
    <row r="29" spans="1:21">
      <c r="A29" s="75">
        <v>232</v>
      </c>
      <c r="B29" s="86" t="s">
        <v>854</v>
      </c>
      <c r="C29" s="119">
        <v>207</v>
      </c>
      <c r="D29" s="87" t="s">
        <v>856</v>
      </c>
      <c r="E29">
        <v>23.1</v>
      </c>
      <c r="F29" s="86" t="s">
        <v>1253</v>
      </c>
      <c r="G29" s="86" t="s">
        <v>1254</v>
      </c>
      <c r="H29" s="86" t="s">
        <v>1255</v>
      </c>
      <c r="I29" s="86" t="s">
        <v>1256</v>
      </c>
      <c r="J29" s="86" t="s">
        <v>1257</v>
      </c>
    </row>
    <row r="30" spans="1:21" ht="15" thickBot="1">
      <c r="A30" s="75">
        <v>232</v>
      </c>
      <c r="B30" s="86" t="s">
        <v>854</v>
      </c>
      <c r="C30" s="119">
        <v>208</v>
      </c>
      <c r="D30" s="320" t="s">
        <v>1327</v>
      </c>
      <c r="E30">
        <v>99.8</v>
      </c>
      <c r="F30" s="86" t="s">
        <v>1270</v>
      </c>
      <c r="G30" s="86" t="s">
        <v>1254</v>
      </c>
      <c r="H30" s="86" t="s">
        <v>1255</v>
      </c>
      <c r="I30" s="86" t="s">
        <v>1256</v>
      </c>
      <c r="J30" s="86" t="s">
        <v>1257</v>
      </c>
    </row>
    <row r="31" spans="1:21" s="191" customFormat="1" ht="14.25" customHeight="1" thickBot="1">
      <c r="A31" s="179">
        <v>232</v>
      </c>
      <c r="B31" s="180" t="s">
        <v>1152</v>
      </c>
      <c r="C31" s="181"/>
      <c r="D31" s="234" t="s">
        <v>935</v>
      </c>
      <c r="E31" s="221">
        <v>454.6</v>
      </c>
      <c r="F31" s="222"/>
      <c r="G31" s="223"/>
      <c r="H31" s="223"/>
      <c r="I31" s="223"/>
      <c r="J31" s="223"/>
      <c r="K31" s="224"/>
      <c r="L31" s="186"/>
      <c r="M31" s="186"/>
      <c r="N31" s="186"/>
      <c r="O31" s="187"/>
      <c r="P31" s="187"/>
      <c r="Q31" s="187"/>
      <c r="R31" s="187"/>
      <c r="S31" s="188"/>
      <c r="T31" s="189"/>
      <c r="U31" s="190"/>
    </row>
    <row r="32" spans="1:21">
      <c r="A32" s="75">
        <v>232</v>
      </c>
      <c r="B32" s="86" t="s">
        <v>867</v>
      </c>
      <c r="C32" s="119">
        <v>301</v>
      </c>
      <c r="D32" s="87" t="s">
        <v>856</v>
      </c>
      <c r="E32">
        <v>18</v>
      </c>
      <c r="F32" s="86" t="s">
        <v>1253</v>
      </c>
      <c r="G32" s="86" t="s">
        <v>1254</v>
      </c>
      <c r="H32" s="86" t="s">
        <v>1255</v>
      </c>
      <c r="I32" s="86" t="s">
        <v>1256</v>
      </c>
      <c r="J32" s="86" t="s">
        <v>1257</v>
      </c>
    </row>
    <row r="33" spans="1:21">
      <c r="A33" s="75">
        <v>232</v>
      </c>
      <c r="B33" s="86" t="s">
        <v>867</v>
      </c>
      <c r="C33" s="119">
        <v>302</v>
      </c>
      <c r="D33" s="87" t="s">
        <v>861</v>
      </c>
      <c r="E33">
        <v>11.4</v>
      </c>
      <c r="F33" s="86" t="s">
        <v>1266</v>
      </c>
      <c r="G33" s="86" t="s">
        <v>1254</v>
      </c>
      <c r="H33" s="86" t="s">
        <v>1255</v>
      </c>
      <c r="I33" s="86" t="s">
        <v>1256</v>
      </c>
      <c r="J33" s="86" t="s">
        <v>1257</v>
      </c>
    </row>
    <row r="34" spans="1:21" ht="28.2">
      <c r="A34" s="75">
        <v>232</v>
      </c>
      <c r="B34" s="86" t="s">
        <v>867</v>
      </c>
      <c r="C34" s="119">
        <v>303</v>
      </c>
      <c r="D34" s="87" t="s">
        <v>871</v>
      </c>
      <c r="E34">
        <v>149.9</v>
      </c>
      <c r="F34" s="86" t="s">
        <v>1266</v>
      </c>
      <c r="G34" s="86" t="s">
        <v>1254</v>
      </c>
      <c r="H34" s="86" t="s">
        <v>1255</v>
      </c>
      <c r="I34" s="86" t="s">
        <v>1256</v>
      </c>
      <c r="J34" s="86" t="s">
        <v>1257</v>
      </c>
    </row>
    <row r="35" spans="1:21">
      <c r="A35" s="75">
        <v>232</v>
      </c>
      <c r="B35" s="86" t="s">
        <v>867</v>
      </c>
      <c r="C35" s="119" t="s">
        <v>870</v>
      </c>
      <c r="D35" s="87" t="s">
        <v>621</v>
      </c>
      <c r="E35">
        <v>4</v>
      </c>
      <c r="F35" s="86" t="s">
        <v>1256</v>
      </c>
      <c r="G35" s="86" t="s">
        <v>1256</v>
      </c>
      <c r="H35" s="86" t="s">
        <v>1256</v>
      </c>
      <c r="I35" s="86" t="s">
        <v>1256</v>
      </c>
      <c r="J35" s="86" t="s">
        <v>1256</v>
      </c>
    </row>
    <row r="36" spans="1:21">
      <c r="A36" s="75">
        <v>232</v>
      </c>
      <c r="B36" s="86" t="s">
        <v>867</v>
      </c>
      <c r="C36" s="119">
        <v>305</v>
      </c>
      <c r="D36" s="162" t="s">
        <v>1150</v>
      </c>
      <c r="E36">
        <v>8.3000000000000007</v>
      </c>
      <c r="F36" s="86" t="s">
        <v>1256</v>
      </c>
      <c r="G36" s="86" t="s">
        <v>1256</v>
      </c>
      <c r="H36" s="86" t="s">
        <v>1256</v>
      </c>
      <c r="I36" s="86" t="s">
        <v>1256</v>
      </c>
      <c r="J36" s="86" t="s">
        <v>1256</v>
      </c>
    </row>
    <row r="37" spans="1:21">
      <c r="A37" s="75">
        <v>232</v>
      </c>
      <c r="B37" s="86" t="s">
        <v>867</v>
      </c>
      <c r="C37" s="119">
        <v>306</v>
      </c>
      <c r="D37" s="87" t="s">
        <v>856</v>
      </c>
      <c r="E37">
        <v>17.7</v>
      </c>
      <c r="F37" s="86" t="s">
        <v>1253</v>
      </c>
      <c r="G37" s="86" t="s">
        <v>1254</v>
      </c>
      <c r="H37" s="86" t="s">
        <v>1255</v>
      </c>
      <c r="I37" s="86" t="s">
        <v>1256</v>
      </c>
      <c r="J37" s="86" t="s">
        <v>1257</v>
      </c>
    </row>
    <row r="38" spans="1:21" ht="15" thickBot="1">
      <c r="A38" s="75">
        <v>232</v>
      </c>
      <c r="B38" s="86" t="s">
        <v>867</v>
      </c>
      <c r="C38" s="119">
        <v>307</v>
      </c>
      <c r="D38" s="87" t="s">
        <v>861</v>
      </c>
      <c r="E38">
        <v>7.3</v>
      </c>
      <c r="F38" s="86" t="s">
        <v>1266</v>
      </c>
      <c r="G38" s="86" t="s">
        <v>1254</v>
      </c>
      <c r="H38" s="86" t="s">
        <v>1255</v>
      </c>
      <c r="I38" s="86" t="s">
        <v>1256</v>
      </c>
      <c r="J38" s="86" t="s">
        <v>1257</v>
      </c>
    </row>
    <row r="39" spans="1:21" s="191" customFormat="1" ht="14.25" customHeight="1" thickBot="1">
      <c r="A39" s="179">
        <v>232</v>
      </c>
      <c r="B39" s="180" t="s">
        <v>1153</v>
      </c>
      <c r="C39" s="181"/>
      <c r="D39" s="234" t="s">
        <v>935</v>
      </c>
      <c r="E39" s="221">
        <v>455.5</v>
      </c>
      <c r="F39" s="222"/>
      <c r="G39" s="223"/>
      <c r="H39" s="223"/>
      <c r="I39" s="223"/>
      <c r="J39" s="223"/>
      <c r="K39" s="224"/>
      <c r="L39" s="186"/>
      <c r="M39" s="186"/>
      <c r="N39" s="186"/>
      <c r="O39" s="187"/>
      <c r="P39" s="187"/>
      <c r="Q39" s="187"/>
      <c r="R39" s="187"/>
      <c r="S39" s="188"/>
      <c r="T39" s="189"/>
      <c r="U39" s="190"/>
    </row>
    <row r="40" spans="1:21" s="20" customFormat="1" ht="14.25" customHeight="1" thickBot="1">
      <c r="A40" s="75">
        <v>232</v>
      </c>
      <c r="B40" s="9" t="s">
        <v>938</v>
      </c>
      <c r="C40" s="93"/>
      <c r="D40" s="241" t="s">
        <v>939</v>
      </c>
      <c r="E40" s="11">
        <v>1952.6</v>
      </c>
      <c r="F40" s="11"/>
      <c r="G40" s="11"/>
      <c r="H40" s="11"/>
      <c r="I40" s="11"/>
      <c r="J40" s="49"/>
      <c r="K40" s="49"/>
      <c r="L40" s="49"/>
      <c r="M40" s="49"/>
      <c r="N40" s="49"/>
      <c r="O40" s="38"/>
      <c r="P40" s="38"/>
      <c r="Q40" s="38"/>
      <c r="R40" s="38"/>
      <c r="S40" s="39"/>
      <c r="T40" s="37"/>
      <c r="U40" s="27"/>
    </row>
  </sheetData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opLeftCell="A32" workbookViewId="0">
      <selection activeCell="J53" sqref="J53"/>
    </sheetView>
  </sheetViews>
  <sheetFormatPr defaultRowHeight="14.4"/>
  <cols>
    <col min="4" max="4" width="22.21875" customWidth="1"/>
    <col min="5" max="5" width="11.33203125" customWidth="1"/>
    <col min="6" max="6" width="9.88671875" customWidth="1"/>
    <col min="9" max="9" width="13.88671875" customWidth="1"/>
    <col min="10" max="10" width="14.44140625" customWidth="1"/>
  </cols>
  <sheetData>
    <row r="1" spans="1:17" ht="14.25" customHeight="1">
      <c r="A1" s="74"/>
      <c r="B1" s="74"/>
      <c r="C1" s="74"/>
      <c r="D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  <c r="P1" s="32"/>
      <c r="Q1" s="25"/>
    </row>
    <row r="2" spans="1:17" ht="14.25" customHeight="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74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17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74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32"/>
      <c r="Q3" s="25"/>
    </row>
    <row r="4" spans="1:17" ht="28.8">
      <c r="A4" s="75">
        <v>134</v>
      </c>
      <c r="B4" s="86" t="s">
        <v>783</v>
      </c>
      <c r="C4" s="118">
        <v>101</v>
      </c>
      <c r="D4" s="87" t="s">
        <v>875</v>
      </c>
      <c r="E4">
        <v>17.7</v>
      </c>
    </row>
    <row r="5" spans="1:17" ht="28.2">
      <c r="A5" s="75">
        <v>134</v>
      </c>
      <c r="B5" s="86" t="s">
        <v>783</v>
      </c>
      <c r="C5" s="118">
        <v>102</v>
      </c>
      <c r="D5" s="87" t="s">
        <v>876</v>
      </c>
      <c r="E5">
        <v>15.3</v>
      </c>
    </row>
    <row r="6" spans="1:17">
      <c r="A6" s="75">
        <v>134</v>
      </c>
      <c r="B6" s="86" t="s">
        <v>783</v>
      </c>
      <c r="C6" s="118">
        <v>103</v>
      </c>
      <c r="D6" s="87" t="s">
        <v>676</v>
      </c>
      <c r="E6">
        <v>98.7</v>
      </c>
    </row>
    <row r="7" spans="1:17">
      <c r="A7" s="75">
        <v>134</v>
      </c>
      <c r="B7" s="86" t="s">
        <v>783</v>
      </c>
      <c r="C7" s="119">
        <v>105</v>
      </c>
      <c r="D7" s="321" t="s">
        <v>1326</v>
      </c>
      <c r="E7">
        <v>11.9</v>
      </c>
    </row>
    <row r="8" spans="1:17">
      <c r="A8" s="75">
        <v>134</v>
      </c>
      <c r="B8" s="86" t="s">
        <v>783</v>
      </c>
      <c r="C8" s="118">
        <v>106</v>
      </c>
      <c r="D8" s="87" t="s">
        <v>676</v>
      </c>
      <c r="E8">
        <v>44.8</v>
      </c>
    </row>
    <row r="9" spans="1:17">
      <c r="A9" s="75">
        <v>134</v>
      </c>
      <c r="B9" s="86" t="s">
        <v>783</v>
      </c>
      <c r="C9" s="118">
        <v>107</v>
      </c>
      <c r="D9" s="88" t="s">
        <v>877</v>
      </c>
      <c r="E9">
        <v>23.8</v>
      </c>
    </row>
    <row r="10" spans="1:17">
      <c r="A10" s="75">
        <v>134</v>
      </c>
      <c r="B10" s="86" t="s">
        <v>783</v>
      </c>
      <c r="C10" s="118">
        <v>108</v>
      </c>
      <c r="D10" s="322" t="s">
        <v>1331</v>
      </c>
      <c r="E10">
        <v>23.2</v>
      </c>
    </row>
    <row r="11" spans="1:17">
      <c r="A11" s="75">
        <v>134</v>
      </c>
      <c r="B11" s="86" t="s">
        <v>783</v>
      </c>
      <c r="C11" s="120">
        <v>109</v>
      </c>
      <c r="D11" s="323" t="s">
        <v>1328</v>
      </c>
      <c r="E11">
        <v>22.6</v>
      </c>
    </row>
    <row r="12" spans="1:17">
      <c r="A12" s="75">
        <v>134</v>
      </c>
      <c r="B12" s="86" t="s">
        <v>783</v>
      </c>
      <c r="C12" s="121">
        <v>110</v>
      </c>
      <c r="D12" s="89" t="s">
        <v>878</v>
      </c>
      <c r="E12">
        <v>23.8</v>
      </c>
    </row>
    <row r="13" spans="1:17" ht="28.8">
      <c r="A13" s="75">
        <v>134</v>
      </c>
      <c r="B13" s="86" t="s">
        <v>783</v>
      </c>
      <c r="C13" s="121">
        <v>111</v>
      </c>
      <c r="D13" s="89" t="s">
        <v>879</v>
      </c>
      <c r="E13">
        <v>23.8</v>
      </c>
    </row>
    <row r="14" spans="1:17" ht="28.8">
      <c r="A14" s="75">
        <v>134</v>
      </c>
      <c r="B14" s="86" t="s">
        <v>783</v>
      </c>
      <c r="C14" s="118">
        <v>112</v>
      </c>
      <c r="D14" s="87" t="s">
        <v>880</v>
      </c>
      <c r="E14">
        <v>15.1</v>
      </c>
    </row>
    <row r="15" spans="1:17">
      <c r="A15" s="75">
        <v>134</v>
      </c>
      <c r="B15" s="86" t="s">
        <v>783</v>
      </c>
      <c r="C15" s="118">
        <v>113</v>
      </c>
      <c r="D15" s="87" t="s">
        <v>881</v>
      </c>
      <c r="E15">
        <v>85.5</v>
      </c>
    </row>
    <row r="16" spans="1:17">
      <c r="A16" s="75">
        <v>134</v>
      </c>
      <c r="B16" s="86" t="s">
        <v>783</v>
      </c>
      <c r="C16" s="118">
        <v>115</v>
      </c>
      <c r="D16" s="88" t="s">
        <v>882</v>
      </c>
      <c r="E16">
        <v>7.3</v>
      </c>
    </row>
    <row r="17" spans="1:21" ht="28.2">
      <c r="A17" s="75">
        <v>134</v>
      </c>
      <c r="B17" s="86" t="s">
        <v>783</v>
      </c>
      <c r="C17" s="118">
        <v>116</v>
      </c>
      <c r="D17" s="87" t="s">
        <v>883</v>
      </c>
      <c r="E17">
        <v>141.9</v>
      </c>
    </row>
    <row r="18" spans="1:21" ht="28.2">
      <c r="A18" s="75">
        <v>134</v>
      </c>
      <c r="B18" s="86" t="s">
        <v>783</v>
      </c>
      <c r="C18" s="118">
        <v>123</v>
      </c>
      <c r="D18" s="87" t="s">
        <v>884</v>
      </c>
      <c r="E18">
        <v>40.5</v>
      </c>
    </row>
    <row r="19" spans="1:21">
      <c r="A19" s="75">
        <v>134</v>
      </c>
      <c r="B19" s="86" t="s">
        <v>783</v>
      </c>
      <c r="C19" s="118" t="s">
        <v>872</v>
      </c>
      <c r="D19" s="87" t="s">
        <v>885</v>
      </c>
      <c r="E19">
        <v>3.5</v>
      </c>
    </row>
    <row r="20" spans="1:21">
      <c r="A20" s="75">
        <v>134</v>
      </c>
      <c r="B20" s="86" t="s">
        <v>783</v>
      </c>
      <c r="C20" s="118">
        <v>126</v>
      </c>
      <c r="D20" s="87" t="s">
        <v>676</v>
      </c>
      <c r="E20">
        <v>40.5</v>
      </c>
    </row>
    <row r="21" spans="1:21" ht="42">
      <c r="A21" s="75">
        <v>134</v>
      </c>
      <c r="B21" s="86" t="s">
        <v>783</v>
      </c>
      <c r="C21" s="118">
        <v>127</v>
      </c>
      <c r="D21" s="87" t="s">
        <v>886</v>
      </c>
      <c r="E21">
        <v>24.8</v>
      </c>
    </row>
    <row r="22" spans="1:21" ht="28.2">
      <c r="A22" s="75">
        <v>134</v>
      </c>
      <c r="B22" s="86" t="s">
        <v>783</v>
      </c>
      <c r="C22" s="118" t="s">
        <v>873</v>
      </c>
      <c r="D22" s="87" t="s">
        <v>887</v>
      </c>
      <c r="E22">
        <v>3</v>
      </c>
    </row>
    <row r="23" spans="1:21">
      <c r="A23" s="75">
        <v>134</v>
      </c>
      <c r="B23" s="86" t="s">
        <v>783</v>
      </c>
      <c r="C23" s="118">
        <v>128</v>
      </c>
      <c r="D23" s="319" t="s">
        <v>1329</v>
      </c>
      <c r="E23">
        <v>17</v>
      </c>
    </row>
    <row r="24" spans="1:21">
      <c r="A24" s="75">
        <v>134</v>
      </c>
      <c r="B24" s="86" t="s">
        <v>783</v>
      </c>
      <c r="C24" s="118">
        <v>129</v>
      </c>
      <c r="D24" s="319" t="s">
        <v>1330</v>
      </c>
      <c r="E24">
        <v>13</v>
      </c>
    </row>
    <row r="25" spans="1:21" ht="28.2">
      <c r="A25" s="75">
        <v>134</v>
      </c>
      <c r="B25" s="86" t="s">
        <v>783</v>
      </c>
      <c r="C25" s="118">
        <v>130</v>
      </c>
      <c r="D25" s="87" t="s">
        <v>888</v>
      </c>
      <c r="E25">
        <v>24.2</v>
      </c>
    </row>
    <row r="26" spans="1:21" ht="28.2">
      <c r="A26" s="75">
        <v>134</v>
      </c>
      <c r="B26" s="86" t="s">
        <v>783</v>
      </c>
      <c r="C26" s="118" t="s">
        <v>874</v>
      </c>
      <c r="D26" s="87" t="s">
        <v>889</v>
      </c>
      <c r="E26">
        <v>3</v>
      </c>
    </row>
    <row r="27" spans="1:21">
      <c r="A27" s="75">
        <v>134</v>
      </c>
      <c r="B27" s="86" t="s">
        <v>783</v>
      </c>
      <c r="C27" s="118">
        <v>131</v>
      </c>
      <c r="D27" s="322" t="s">
        <v>1331</v>
      </c>
      <c r="E27">
        <v>24.4</v>
      </c>
    </row>
    <row r="28" spans="1:21" ht="28.2">
      <c r="A28" s="75">
        <v>134</v>
      </c>
      <c r="B28" s="86" t="s">
        <v>783</v>
      </c>
      <c r="C28" s="122">
        <v>132</v>
      </c>
      <c r="D28" s="90" t="s">
        <v>890</v>
      </c>
      <c r="E28">
        <v>61.3</v>
      </c>
    </row>
    <row r="29" spans="1:21" ht="28.2">
      <c r="A29" s="75">
        <v>134</v>
      </c>
      <c r="B29" s="86" t="s">
        <v>783</v>
      </c>
      <c r="C29" s="122">
        <v>133</v>
      </c>
      <c r="D29" s="90" t="s">
        <v>891</v>
      </c>
      <c r="E29">
        <v>61.3</v>
      </c>
    </row>
    <row r="30" spans="1:21" ht="28.8" thickBot="1">
      <c r="A30" s="75">
        <v>134</v>
      </c>
      <c r="B30" s="86" t="s">
        <v>783</v>
      </c>
      <c r="C30" s="122">
        <v>135</v>
      </c>
      <c r="D30" s="90" t="s">
        <v>892</v>
      </c>
      <c r="E30">
        <v>97.8</v>
      </c>
    </row>
    <row r="31" spans="1:21" s="191" customFormat="1" ht="14.25" customHeight="1" thickBot="1">
      <c r="A31" s="179">
        <v>232</v>
      </c>
      <c r="B31" s="180" t="s">
        <v>1151</v>
      </c>
      <c r="C31" s="181"/>
      <c r="D31" s="234" t="s">
        <v>935</v>
      </c>
      <c r="E31" s="221">
        <v>1088.5999999999999</v>
      </c>
      <c r="F31" s="222"/>
      <c r="G31" s="223"/>
      <c r="H31" s="223"/>
      <c r="I31" s="223"/>
      <c r="J31" s="223"/>
      <c r="K31" s="224"/>
      <c r="L31" s="186"/>
      <c r="M31" s="186"/>
      <c r="N31" s="186"/>
      <c r="O31" s="187"/>
      <c r="P31" s="187"/>
      <c r="Q31" s="187"/>
      <c r="R31" s="187"/>
      <c r="S31" s="188"/>
      <c r="T31" s="189"/>
      <c r="U31" s="190"/>
    </row>
    <row r="32" spans="1:21" ht="28.8">
      <c r="A32" s="75">
        <v>134</v>
      </c>
      <c r="B32" s="86" t="s">
        <v>854</v>
      </c>
      <c r="C32" s="123">
        <v>201</v>
      </c>
      <c r="D32" s="125" t="s">
        <v>875</v>
      </c>
      <c r="E32">
        <v>17.7</v>
      </c>
    </row>
    <row r="33" spans="1:5">
      <c r="A33" s="75">
        <v>134</v>
      </c>
      <c r="B33" s="86" t="s">
        <v>869</v>
      </c>
      <c r="C33" s="119">
        <v>202</v>
      </c>
      <c r="D33" s="321" t="s">
        <v>1332</v>
      </c>
      <c r="E33">
        <v>11.9</v>
      </c>
    </row>
    <row r="34" spans="1:5">
      <c r="A34" s="75"/>
      <c r="B34" s="86" t="s">
        <v>854</v>
      </c>
      <c r="C34" s="123">
        <v>203</v>
      </c>
      <c r="D34" s="126" t="s">
        <v>1333</v>
      </c>
      <c r="E34">
        <v>74.3</v>
      </c>
    </row>
    <row r="35" spans="1:5" ht="15">
      <c r="A35" s="75">
        <v>134</v>
      </c>
      <c r="B35" s="86" t="s">
        <v>854</v>
      </c>
      <c r="C35" s="123">
        <v>205</v>
      </c>
      <c r="D35" s="324" t="s">
        <v>1334</v>
      </c>
      <c r="E35">
        <v>86</v>
      </c>
    </row>
    <row r="36" spans="1:5">
      <c r="A36" s="75">
        <v>134</v>
      </c>
      <c r="B36" s="86" t="s">
        <v>854</v>
      </c>
      <c r="C36" s="123">
        <v>206</v>
      </c>
      <c r="D36" s="125" t="s">
        <v>865</v>
      </c>
      <c r="E36">
        <v>58.1</v>
      </c>
    </row>
    <row r="37" spans="1:5">
      <c r="A37" s="75">
        <v>134</v>
      </c>
      <c r="B37" s="86" t="s">
        <v>854</v>
      </c>
      <c r="C37" s="123">
        <v>207</v>
      </c>
      <c r="D37" s="125" t="s">
        <v>677</v>
      </c>
      <c r="E37">
        <v>53.9</v>
      </c>
    </row>
    <row r="38" spans="1:5" ht="28.2">
      <c r="A38" s="75">
        <v>134</v>
      </c>
      <c r="B38" s="86" t="s">
        <v>854</v>
      </c>
      <c r="C38" s="123" t="s">
        <v>893</v>
      </c>
      <c r="D38" s="125" t="s">
        <v>900</v>
      </c>
      <c r="E38">
        <v>18.8</v>
      </c>
    </row>
    <row r="39" spans="1:5" ht="28.8">
      <c r="A39" s="75">
        <v>134</v>
      </c>
      <c r="B39" s="86" t="s">
        <v>854</v>
      </c>
      <c r="C39" s="123">
        <v>208</v>
      </c>
      <c r="D39" s="125" t="s">
        <v>880</v>
      </c>
      <c r="E39">
        <v>15.1</v>
      </c>
    </row>
    <row r="40" spans="1:5">
      <c r="A40" s="75">
        <v>134</v>
      </c>
      <c r="B40" s="86" t="s">
        <v>854</v>
      </c>
      <c r="C40" s="123">
        <v>209</v>
      </c>
      <c r="D40" s="125" t="s">
        <v>901</v>
      </c>
      <c r="E40">
        <v>73</v>
      </c>
    </row>
    <row r="41" spans="1:5">
      <c r="A41" s="75">
        <v>134</v>
      </c>
      <c r="B41" s="86" t="s">
        <v>854</v>
      </c>
      <c r="C41" s="123">
        <v>211</v>
      </c>
      <c r="D41" s="125" t="s">
        <v>902</v>
      </c>
      <c r="E41">
        <v>142.80000000000001</v>
      </c>
    </row>
    <row r="42" spans="1:5" ht="28.2">
      <c r="A42" s="75">
        <v>134</v>
      </c>
      <c r="B42" s="86" t="s">
        <v>854</v>
      </c>
      <c r="C42" s="124">
        <v>212</v>
      </c>
      <c r="D42" s="325" t="s">
        <v>1335</v>
      </c>
      <c r="E42">
        <v>173.6</v>
      </c>
    </row>
    <row r="43" spans="1:5">
      <c r="A43" s="75">
        <v>134</v>
      </c>
      <c r="B43" s="86" t="s">
        <v>854</v>
      </c>
      <c r="C43" s="124" t="s">
        <v>1158</v>
      </c>
      <c r="D43" s="125" t="s">
        <v>1155</v>
      </c>
      <c r="E43">
        <v>3.7</v>
      </c>
    </row>
    <row r="44" spans="1:5">
      <c r="A44" s="75">
        <v>134</v>
      </c>
      <c r="B44" s="86" t="s">
        <v>854</v>
      </c>
      <c r="C44" s="124" t="s">
        <v>894</v>
      </c>
      <c r="D44" s="125" t="s">
        <v>1157</v>
      </c>
      <c r="E44">
        <v>3.7</v>
      </c>
    </row>
    <row r="45" spans="1:5">
      <c r="A45" s="75">
        <v>134</v>
      </c>
      <c r="B45" s="86" t="s">
        <v>854</v>
      </c>
      <c r="C45" s="124" t="s">
        <v>1156</v>
      </c>
      <c r="D45" s="125" t="s">
        <v>1155</v>
      </c>
      <c r="E45">
        <v>3.7</v>
      </c>
    </row>
    <row r="46" spans="1:5">
      <c r="A46" s="75">
        <v>134</v>
      </c>
      <c r="B46" s="86" t="s">
        <v>854</v>
      </c>
      <c r="C46" s="123">
        <v>213</v>
      </c>
      <c r="D46" s="125" t="s">
        <v>895</v>
      </c>
      <c r="E46">
        <v>54.3</v>
      </c>
    </row>
    <row r="47" spans="1:5">
      <c r="A47" s="75">
        <v>134</v>
      </c>
      <c r="B47" s="86" t="s">
        <v>854</v>
      </c>
      <c r="C47" s="123">
        <v>215</v>
      </c>
      <c r="D47" s="125" t="s">
        <v>865</v>
      </c>
      <c r="E47">
        <v>25</v>
      </c>
    </row>
    <row r="48" spans="1:5">
      <c r="A48" s="75">
        <v>134</v>
      </c>
      <c r="B48" s="86" t="s">
        <v>854</v>
      </c>
      <c r="C48" s="123">
        <v>216</v>
      </c>
      <c r="D48" s="125" t="s">
        <v>896</v>
      </c>
      <c r="E48">
        <v>8.4</v>
      </c>
    </row>
    <row r="49" spans="1:21">
      <c r="A49" s="75">
        <v>134</v>
      </c>
      <c r="B49" s="86" t="s">
        <v>854</v>
      </c>
      <c r="C49" s="123">
        <v>217</v>
      </c>
      <c r="D49" s="125" t="s">
        <v>897</v>
      </c>
      <c r="E49">
        <v>13.8</v>
      </c>
    </row>
    <row r="50" spans="1:21" s="167" customFormat="1" ht="14.25" customHeight="1">
      <c r="A50" s="46">
        <v>134</v>
      </c>
      <c r="B50" s="260" t="s">
        <v>854</v>
      </c>
      <c r="C50" s="123">
        <v>218</v>
      </c>
      <c r="D50" s="125" t="s">
        <v>898</v>
      </c>
      <c r="E50" s="43">
        <v>14</v>
      </c>
      <c r="F50" s="43"/>
      <c r="G50" s="218"/>
      <c r="H50" s="218"/>
      <c r="I50" s="218"/>
      <c r="J50" s="218"/>
      <c r="K50" s="218"/>
      <c r="L50" s="49"/>
      <c r="M50" s="49"/>
      <c r="N50" s="49"/>
      <c r="O50" s="38"/>
      <c r="P50" s="38"/>
      <c r="Q50" s="38"/>
      <c r="R50" s="38"/>
      <c r="S50" s="39"/>
      <c r="T50" s="37"/>
      <c r="U50" s="166"/>
    </row>
    <row r="51" spans="1:21" s="20" customFormat="1" ht="14.25" customHeight="1" thickBot="1">
      <c r="A51" s="75">
        <v>134</v>
      </c>
      <c r="B51" s="86" t="s">
        <v>854</v>
      </c>
      <c r="C51" s="123">
        <v>219</v>
      </c>
      <c r="D51" s="125" t="s">
        <v>899</v>
      </c>
      <c r="E51">
        <v>15.6</v>
      </c>
      <c r="F51" s="259"/>
      <c r="G51" s="11"/>
      <c r="H51" s="11"/>
      <c r="I51" s="11"/>
      <c r="J51" s="49"/>
      <c r="K51" s="49"/>
      <c r="L51" s="49"/>
      <c r="M51" s="49"/>
      <c r="N51" s="49"/>
      <c r="O51" s="38"/>
      <c r="P51" s="38"/>
      <c r="Q51" s="38"/>
      <c r="R51" s="38"/>
      <c r="S51" s="39"/>
      <c r="T51" s="37"/>
      <c r="U51" s="27"/>
    </row>
    <row r="52" spans="1:21" ht="15" thickBot="1">
      <c r="A52" s="179">
        <v>134</v>
      </c>
      <c r="B52" s="180" t="s">
        <v>1152</v>
      </c>
      <c r="C52" s="181"/>
      <c r="D52" s="234" t="s">
        <v>935</v>
      </c>
      <c r="E52" s="221">
        <v>1116.2</v>
      </c>
      <c r="F52" s="11"/>
    </row>
    <row r="53" spans="1:21" ht="15" thickBot="1">
      <c r="A53" s="75">
        <v>134</v>
      </c>
      <c r="B53" s="9" t="s">
        <v>938</v>
      </c>
      <c r="C53" s="93"/>
      <c r="D53" s="241" t="s">
        <v>939</v>
      </c>
      <c r="E53" s="11">
        <v>2204.8000000000002</v>
      </c>
    </row>
    <row r="54" spans="1:21">
      <c r="D54" s="86" t="s">
        <v>1154</v>
      </c>
      <c r="E54">
        <v>321.60000000000002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zoomScale="85" zoomScaleNormal="85" workbookViewId="0">
      <selection activeCell="F32" sqref="F32"/>
    </sheetView>
  </sheetViews>
  <sheetFormatPr defaultRowHeight="14.4"/>
  <cols>
    <col min="4" max="4" width="23.33203125" customWidth="1"/>
    <col min="5" max="5" width="13.6640625" customWidth="1"/>
  </cols>
  <sheetData>
    <row r="1" spans="1:17">
      <c r="A1" s="74"/>
      <c r="B1" s="74"/>
      <c r="C1" s="74"/>
      <c r="D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</row>
    <row r="2" spans="1:17" ht="14.25" customHeight="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74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17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74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32"/>
      <c r="Q3" s="25"/>
    </row>
    <row r="4" spans="1:17" ht="15">
      <c r="A4" s="75">
        <v>132</v>
      </c>
      <c r="B4" s="86" t="s">
        <v>783</v>
      </c>
      <c r="C4" s="118">
        <v>101</v>
      </c>
      <c r="D4" s="261" t="s">
        <v>903</v>
      </c>
      <c r="E4">
        <v>20.2</v>
      </c>
    </row>
    <row r="5" spans="1:17" ht="28.8">
      <c r="A5" s="75">
        <v>132</v>
      </c>
      <c r="B5" s="86" t="s">
        <v>783</v>
      </c>
      <c r="C5" s="118">
        <v>102</v>
      </c>
      <c r="D5" s="262" t="s">
        <v>904</v>
      </c>
      <c r="E5">
        <v>34.799999999999997</v>
      </c>
    </row>
    <row r="6" spans="1:17" ht="28.8">
      <c r="A6" s="75">
        <v>132</v>
      </c>
      <c r="B6" s="86" t="s">
        <v>783</v>
      </c>
      <c r="C6" s="118">
        <v>103</v>
      </c>
      <c r="D6" s="262" t="s">
        <v>905</v>
      </c>
      <c r="E6">
        <v>34.799999999999997</v>
      </c>
    </row>
    <row r="7" spans="1:17" ht="42.6">
      <c r="A7" s="75">
        <v>132</v>
      </c>
      <c r="B7" s="86" t="s">
        <v>783</v>
      </c>
      <c r="C7" s="118">
        <v>104</v>
      </c>
      <c r="D7" s="262" t="s">
        <v>1160</v>
      </c>
      <c r="E7">
        <v>11.2</v>
      </c>
    </row>
    <row r="8" spans="1:17" ht="15.6" thickBot="1">
      <c r="A8" s="75">
        <v>132</v>
      </c>
      <c r="B8" s="86" t="s">
        <v>783</v>
      </c>
      <c r="C8" s="118">
        <v>105</v>
      </c>
      <c r="D8" s="262" t="s">
        <v>1159</v>
      </c>
      <c r="E8">
        <v>9.1</v>
      </c>
    </row>
    <row r="9" spans="1:17" ht="15" thickBot="1">
      <c r="A9" s="75">
        <v>132</v>
      </c>
      <c r="B9" s="9" t="s">
        <v>938</v>
      </c>
      <c r="C9" s="93"/>
      <c r="D9" s="241" t="s">
        <v>939</v>
      </c>
      <c r="E9">
        <v>128.80000000000001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L21" sqref="L21"/>
    </sheetView>
  </sheetViews>
  <sheetFormatPr defaultRowHeight="14.4"/>
  <cols>
    <col min="4" max="4" width="24" customWidth="1"/>
  </cols>
  <sheetData>
    <row r="1" spans="1:17">
      <c r="A1" s="74"/>
      <c r="B1" s="74"/>
      <c r="C1" s="74"/>
      <c r="D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</row>
    <row r="2" spans="1:17" ht="14.25" customHeight="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74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17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74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32"/>
      <c r="Q3" s="25"/>
    </row>
    <row r="4" spans="1:17" ht="28.2">
      <c r="A4" s="75">
        <v>111</v>
      </c>
      <c r="B4" s="86" t="s">
        <v>783</v>
      </c>
      <c r="C4" s="127" t="s">
        <v>134</v>
      </c>
      <c r="D4" s="130" t="s">
        <v>908</v>
      </c>
      <c r="E4">
        <v>35.200000000000003</v>
      </c>
    </row>
    <row r="5" spans="1:17" ht="28.2">
      <c r="A5" s="75">
        <v>111</v>
      </c>
      <c r="B5" s="86" t="s">
        <v>783</v>
      </c>
      <c r="C5" s="127" t="s">
        <v>135</v>
      </c>
      <c r="D5" s="130" t="s">
        <v>1161</v>
      </c>
      <c r="E5">
        <v>41.1</v>
      </c>
    </row>
    <row r="6" spans="1:17">
      <c r="A6" s="75">
        <v>111</v>
      </c>
      <c r="B6" s="86" t="s">
        <v>783</v>
      </c>
      <c r="C6" s="127" t="s">
        <v>137</v>
      </c>
      <c r="D6" s="130" t="s">
        <v>909</v>
      </c>
      <c r="E6">
        <v>15.7</v>
      </c>
    </row>
    <row r="7" spans="1:17">
      <c r="A7" s="75">
        <v>111</v>
      </c>
      <c r="B7" s="86" t="s">
        <v>783</v>
      </c>
      <c r="C7" s="127" t="s">
        <v>138</v>
      </c>
      <c r="D7" s="130" t="s">
        <v>910</v>
      </c>
      <c r="E7">
        <v>14.7</v>
      </c>
    </row>
    <row r="8" spans="1:17">
      <c r="A8" s="75">
        <v>111</v>
      </c>
      <c r="B8" s="86" t="s">
        <v>783</v>
      </c>
      <c r="C8" s="127" t="s">
        <v>139</v>
      </c>
      <c r="D8" s="130" t="s">
        <v>911</v>
      </c>
      <c r="E8">
        <v>13.7</v>
      </c>
    </row>
    <row r="9" spans="1:17">
      <c r="A9" s="75">
        <v>111</v>
      </c>
      <c r="B9" s="86" t="s">
        <v>783</v>
      </c>
      <c r="C9" s="127" t="s">
        <v>140</v>
      </c>
      <c r="D9" s="130" t="s">
        <v>912</v>
      </c>
      <c r="E9">
        <v>4.4000000000000004</v>
      </c>
    </row>
    <row r="10" spans="1:17">
      <c r="A10" s="75">
        <v>111</v>
      </c>
      <c r="B10" s="86" t="s">
        <v>783</v>
      </c>
      <c r="C10" s="127" t="s">
        <v>142</v>
      </c>
      <c r="D10" s="130" t="s">
        <v>913</v>
      </c>
      <c r="E10">
        <v>12.1</v>
      </c>
    </row>
    <row r="11" spans="1:17">
      <c r="A11" s="75">
        <v>111</v>
      </c>
      <c r="B11" s="86" t="s">
        <v>783</v>
      </c>
      <c r="C11" s="127" t="s">
        <v>906</v>
      </c>
      <c r="D11" s="130" t="s">
        <v>914</v>
      </c>
      <c r="E11">
        <v>84</v>
      </c>
    </row>
    <row r="12" spans="1:17" ht="28.8" thickBot="1">
      <c r="A12" s="75">
        <v>111</v>
      </c>
      <c r="B12" s="86" t="s">
        <v>783</v>
      </c>
      <c r="C12" s="127" t="s">
        <v>907</v>
      </c>
      <c r="D12" s="130" t="s">
        <v>915</v>
      </c>
      <c r="E12">
        <v>256.39999999999998</v>
      </c>
    </row>
    <row r="13" spans="1:17" ht="15" thickBot="1">
      <c r="A13" s="75">
        <v>111</v>
      </c>
      <c r="B13" s="9" t="s">
        <v>938</v>
      </c>
      <c r="C13" s="93"/>
      <c r="D13" s="241" t="s">
        <v>939</v>
      </c>
      <c r="E13">
        <v>643.79999999999995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B4" sqref="B4"/>
    </sheetView>
  </sheetViews>
  <sheetFormatPr defaultRowHeight="14.4"/>
  <sheetData>
    <row r="1" spans="1:17">
      <c r="A1" s="74"/>
      <c r="B1" s="74"/>
      <c r="C1" s="74"/>
      <c r="D1" s="74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</row>
    <row r="2" spans="1:17" ht="14.25" customHeight="1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74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  <c r="P2" s="32"/>
      <c r="Q2" s="25"/>
    </row>
    <row r="3" spans="1:17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74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  <c r="P3" s="32"/>
      <c r="Q3" s="25"/>
    </row>
    <row r="4" spans="1:17" ht="28.8">
      <c r="A4" s="75">
        <v>234</v>
      </c>
      <c r="B4" s="86" t="s">
        <v>783</v>
      </c>
      <c r="C4" s="129">
        <v>101</v>
      </c>
      <c r="D4" s="128" t="s">
        <v>916</v>
      </c>
      <c r="E4">
        <v>4.3</v>
      </c>
    </row>
    <row r="5" spans="1:17" ht="28.8">
      <c r="A5" s="75">
        <v>234</v>
      </c>
      <c r="B5" s="86" t="s">
        <v>783</v>
      </c>
      <c r="C5" s="129">
        <v>102</v>
      </c>
      <c r="D5" s="128" t="s">
        <v>917</v>
      </c>
      <c r="E5">
        <v>6</v>
      </c>
    </row>
    <row r="6" spans="1:17" ht="43.2" thickBot="1">
      <c r="A6" s="75">
        <v>234</v>
      </c>
      <c r="B6" s="86" t="s">
        <v>783</v>
      </c>
      <c r="C6" s="129">
        <v>103</v>
      </c>
      <c r="D6" s="128" t="s">
        <v>918</v>
      </c>
      <c r="E6">
        <v>13.4</v>
      </c>
    </row>
    <row r="7" spans="1:17" ht="15" thickBot="1">
      <c r="A7" s="75">
        <v>234</v>
      </c>
      <c r="B7" s="9" t="s">
        <v>938</v>
      </c>
      <c r="C7" s="93"/>
      <c r="D7" s="241" t="s">
        <v>939</v>
      </c>
      <c r="E7">
        <v>41.5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workbookViewId="0">
      <selection sqref="A1:O3"/>
    </sheetView>
  </sheetViews>
  <sheetFormatPr defaultRowHeight="14.4"/>
  <cols>
    <col min="4" max="4" width="23.33203125" customWidth="1"/>
    <col min="5" max="5" width="14.5546875" customWidth="1"/>
  </cols>
  <sheetData>
    <row r="1" spans="1:15">
      <c r="A1" s="74"/>
      <c r="B1" s="74"/>
      <c r="C1" s="74"/>
      <c r="D1" s="159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</row>
    <row r="2" spans="1:15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159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</row>
    <row r="3" spans="1:15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159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</row>
    <row r="4" spans="1:15">
      <c r="A4">
        <v>131</v>
      </c>
      <c r="B4" s="86" t="s">
        <v>1162</v>
      </c>
      <c r="C4">
        <v>101</v>
      </c>
      <c r="D4" s="86" t="s">
        <v>1336</v>
      </c>
      <c r="E4">
        <v>254.4</v>
      </c>
    </row>
    <row r="5" spans="1:15">
      <c r="A5">
        <v>131</v>
      </c>
      <c r="B5" s="86" t="s">
        <v>1162</v>
      </c>
      <c r="C5">
        <v>100</v>
      </c>
      <c r="D5" s="86" t="s">
        <v>1337</v>
      </c>
      <c r="E5">
        <v>168.7</v>
      </c>
    </row>
    <row r="6" spans="1:15">
      <c r="A6">
        <v>131</v>
      </c>
      <c r="B6" s="86" t="s">
        <v>1282</v>
      </c>
      <c r="C6" s="86">
        <v>102</v>
      </c>
      <c r="D6" s="86" t="s">
        <v>1338</v>
      </c>
      <c r="E6">
        <v>760.5</v>
      </c>
    </row>
    <row r="7" spans="1:15">
      <c r="A7">
        <v>131</v>
      </c>
      <c r="B7" s="86" t="s">
        <v>1282</v>
      </c>
      <c r="C7">
        <v>103</v>
      </c>
      <c r="D7" s="86" t="s">
        <v>1339</v>
      </c>
      <c r="E7">
        <v>59.6</v>
      </c>
    </row>
    <row r="8" spans="1:15">
      <c r="A8">
        <v>131</v>
      </c>
      <c r="B8" s="86" t="s">
        <v>1282</v>
      </c>
      <c r="C8">
        <v>104</v>
      </c>
      <c r="D8" s="86" t="s">
        <v>1340</v>
      </c>
      <c r="E8">
        <v>1604.8</v>
      </c>
    </row>
    <row r="9" spans="1:15">
      <c r="A9">
        <v>131</v>
      </c>
      <c r="B9" s="86" t="s">
        <v>1282</v>
      </c>
      <c r="C9">
        <v>105</v>
      </c>
      <c r="D9" s="86" t="s">
        <v>1341</v>
      </c>
      <c r="E9">
        <v>31.4</v>
      </c>
    </row>
    <row r="10" spans="1:15">
      <c r="A10">
        <v>131</v>
      </c>
      <c r="B10" s="86" t="s">
        <v>1282</v>
      </c>
      <c r="C10">
        <v>107</v>
      </c>
      <c r="D10" s="86" t="s">
        <v>1342</v>
      </c>
      <c r="E10">
        <v>72.2</v>
      </c>
    </row>
    <row r="11" spans="1:15">
      <c r="A11">
        <v>131</v>
      </c>
      <c r="B11" s="86" t="s">
        <v>1282</v>
      </c>
      <c r="C11">
        <v>108</v>
      </c>
      <c r="D11" s="86" t="s">
        <v>1343</v>
      </c>
      <c r="E11">
        <v>22.9</v>
      </c>
    </row>
    <row r="12" spans="1:15">
      <c r="A12">
        <v>131</v>
      </c>
      <c r="B12" s="86" t="s">
        <v>1282</v>
      </c>
      <c r="C12">
        <v>109</v>
      </c>
      <c r="D12" s="86" t="s">
        <v>1344</v>
      </c>
      <c r="E12">
        <v>18.399999999999999</v>
      </c>
    </row>
    <row r="13" spans="1:15">
      <c r="A13">
        <v>131</v>
      </c>
      <c r="B13" s="86" t="s">
        <v>1282</v>
      </c>
      <c r="C13">
        <v>110</v>
      </c>
      <c r="D13" s="86" t="s">
        <v>1345</v>
      </c>
      <c r="E13">
        <v>5.5</v>
      </c>
    </row>
    <row r="14" spans="1:15">
      <c r="A14">
        <v>131</v>
      </c>
      <c r="B14" s="86" t="s">
        <v>1282</v>
      </c>
      <c r="C14">
        <v>111</v>
      </c>
      <c r="D14" s="86" t="s">
        <v>1346</v>
      </c>
      <c r="E14">
        <v>18</v>
      </c>
    </row>
    <row r="15" spans="1:15">
      <c r="A15">
        <v>131</v>
      </c>
      <c r="B15" s="86" t="s">
        <v>1282</v>
      </c>
      <c r="C15">
        <v>112</v>
      </c>
      <c r="D15" s="86" t="s">
        <v>1347</v>
      </c>
      <c r="E15">
        <v>12.2</v>
      </c>
    </row>
    <row r="16" spans="1:15">
      <c r="A16">
        <v>131</v>
      </c>
      <c r="B16" s="86" t="s">
        <v>1282</v>
      </c>
      <c r="C16">
        <v>113</v>
      </c>
      <c r="D16" s="86" t="s">
        <v>1348</v>
      </c>
      <c r="E16">
        <v>30.2</v>
      </c>
    </row>
    <row r="17" spans="1:5">
      <c r="A17">
        <v>131</v>
      </c>
      <c r="B17" s="86" t="s">
        <v>1282</v>
      </c>
      <c r="C17">
        <v>114</v>
      </c>
      <c r="D17" s="86" t="s">
        <v>1349</v>
      </c>
      <c r="E17">
        <v>5.7</v>
      </c>
    </row>
    <row r="18" spans="1:5">
      <c r="A18">
        <v>131</v>
      </c>
      <c r="B18" s="86" t="s">
        <v>1282</v>
      </c>
      <c r="C18">
        <v>115</v>
      </c>
      <c r="D18" s="86" t="s">
        <v>1350</v>
      </c>
      <c r="E18">
        <v>13.5</v>
      </c>
    </row>
    <row r="19" spans="1:5">
      <c r="A19">
        <v>131</v>
      </c>
      <c r="B19" s="86" t="s">
        <v>1282</v>
      </c>
      <c r="C19">
        <v>116</v>
      </c>
      <c r="D19" s="86" t="s">
        <v>1351</v>
      </c>
      <c r="E19">
        <v>37.799999999999997</v>
      </c>
    </row>
    <row r="20" spans="1:5">
      <c r="A20">
        <v>131</v>
      </c>
      <c r="B20" s="86" t="s">
        <v>1282</v>
      </c>
      <c r="C20">
        <v>117</v>
      </c>
      <c r="D20" s="86" t="s">
        <v>1278</v>
      </c>
      <c r="E20">
        <v>7.2</v>
      </c>
    </row>
    <row r="21" spans="1:5">
      <c r="A21">
        <v>131</v>
      </c>
      <c r="B21" s="86" t="s">
        <v>1282</v>
      </c>
      <c r="C21" s="279" t="s">
        <v>1279</v>
      </c>
      <c r="D21" s="86" t="s">
        <v>1352</v>
      </c>
      <c r="E21">
        <v>4.5</v>
      </c>
    </row>
    <row r="22" spans="1:5">
      <c r="A22">
        <v>131</v>
      </c>
      <c r="B22" s="86" t="s">
        <v>1282</v>
      </c>
      <c r="C22">
        <v>118</v>
      </c>
      <c r="D22" s="86" t="s">
        <v>1353</v>
      </c>
      <c r="E22">
        <v>36.9</v>
      </c>
    </row>
    <row r="23" spans="1:5">
      <c r="A23">
        <v>131</v>
      </c>
      <c r="B23" s="86" t="s">
        <v>1282</v>
      </c>
      <c r="C23">
        <v>119</v>
      </c>
      <c r="D23" s="86" t="s">
        <v>1354</v>
      </c>
      <c r="E23">
        <v>42.3</v>
      </c>
    </row>
    <row r="24" spans="1:5">
      <c r="A24">
        <v>131</v>
      </c>
      <c r="B24" s="86" t="s">
        <v>1282</v>
      </c>
      <c r="C24">
        <v>120</v>
      </c>
      <c r="D24" s="86" t="s">
        <v>1355</v>
      </c>
      <c r="E24">
        <v>167.4</v>
      </c>
    </row>
    <row r="25" spans="1:5">
      <c r="A25">
        <v>131</v>
      </c>
      <c r="B25" s="86" t="s">
        <v>1282</v>
      </c>
      <c r="C25">
        <v>121</v>
      </c>
      <c r="D25" s="86" t="s">
        <v>1356</v>
      </c>
      <c r="E25">
        <v>96.7</v>
      </c>
    </row>
    <row r="26" spans="1:5">
      <c r="A26">
        <v>131</v>
      </c>
      <c r="B26" s="86" t="s">
        <v>1282</v>
      </c>
      <c r="C26">
        <v>122</v>
      </c>
      <c r="D26" s="86" t="s">
        <v>1357</v>
      </c>
      <c r="E26">
        <v>107.4</v>
      </c>
    </row>
    <row r="27" spans="1:5">
      <c r="A27">
        <v>131</v>
      </c>
      <c r="B27" s="86" t="s">
        <v>1282</v>
      </c>
      <c r="C27">
        <v>123</v>
      </c>
      <c r="D27" s="86" t="s">
        <v>1358</v>
      </c>
      <c r="E27">
        <v>30.8</v>
      </c>
    </row>
    <row r="28" spans="1:5">
      <c r="A28">
        <v>131</v>
      </c>
      <c r="B28" s="86" t="s">
        <v>1282</v>
      </c>
      <c r="C28">
        <v>124</v>
      </c>
      <c r="D28" s="86" t="s">
        <v>1359</v>
      </c>
      <c r="E28">
        <v>66.900000000000006</v>
      </c>
    </row>
    <row r="29" spans="1:5">
      <c r="A29">
        <v>131</v>
      </c>
      <c r="B29" s="86" t="s">
        <v>1282</v>
      </c>
      <c r="C29">
        <v>125</v>
      </c>
      <c r="D29" s="86" t="s">
        <v>1360</v>
      </c>
      <c r="E29">
        <v>36.700000000000003</v>
      </c>
    </row>
    <row r="30" spans="1:5">
      <c r="A30">
        <v>131</v>
      </c>
      <c r="B30" s="86" t="s">
        <v>1282</v>
      </c>
      <c r="C30">
        <v>126</v>
      </c>
      <c r="D30" s="86" t="s">
        <v>1361</v>
      </c>
      <c r="E30">
        <v>20.100000000000001</v>
      </c>
    </row>
    <row r="31" spans="1:5">
      <c r="A31">
        <v>131</v>
      </c>
      <c r="B31" s="86" t="s">
        <v>1282</v>
      </c>
      <c r="C31">
        <v>127</v>
      </c>
      <c r="D31" s="86" t="s">
        <v>1362</v>
      </c>
      <c r="E31">
        <v>103.9</v>
      </c>
    </row>
    <row r="32" spans="1:5">
      <c r="A32">
        <v>131</v>
      </c>
      <c r="B32" s="86" t="s">
        <v>1282</v>
      </c>
      <c r="C32">
        <v>128</v>
      </c>
      <c r="D32" s="86" t="s">
        <v>1363</v>
      </c>
      <c r="E32">
        <v>118.6</v>
      </c>
    </row>
    <row r="33" spans="1:18">
      <c r="A33">
        <v>131</v>
      </c>
      <c r="B33" s="86" t="s">
        <v>1282</v>
      </c>
      <c r="C33">
        <v>129</v>
      </c>
      <c r="D33" s="86" t="s">
        <v>1364</v>
      </c>
      <c r="E33">
        <v>47.8</v>
      </c>
    </row>
    <row r="34" spans="1:18">
      <c r="A34">
        <v>131</v>
      </c>
      <c r="B34" s="86" t="s">
        <v>1282</v>
      </c>
      <c r="C34">
        <v>130</v>
      </c>
      <c r="D34" s="86" t="s">
        <v>1338</v>
      </c>
      <c r="E34">
        <v>110.8</v>
      </c>
    </row>
    <row r="35" spans="1:18">
      <c r="A35">
        <v>131</v>
      </c>
      <c r="B35" s="86" t="s">
        <v>1282</v>
      </c>
      <c r="C35" s="86">
        <v>131</v>
      </c>
      <c r="D35" s="86" t="s">
        <v>1365</v>
      </c>
      <c r="E35">
        <v>3.8</v>
      </c>
    </row>
    <row r="36" spans="1:18">
      <c r="A36">
        <v>131</v>
      </c>
      <c r="B36" s="86" t="s">
        <v>1282</v>
      </c>
      <c r="C36">
        <v>133</v>
      </c>
      <c r="D36" s="86" t="s">
        <v>1366</v>
      </c>
      <c r="E36">
        <v>72</v>
      </c>
    </row>
    <row r="37" spans="1:18">
      <c r="A37">
        <v>131</v>
      </c>
      <c r="B37" s="86" t="s">
        <v>1282</v>
      </c>
      <c r="C37">
        <v>134</v>
      </c>
      <c r="D37" s="86" t="s">
        <v>1367</v>
      </c>
      <c r="E37">
        <v>2.2999999999999998</v>
      </c>
    </row>
    <row r="38" spans="1:18">
      <c r="A38">
        <v>131</v>
      </c>
      <c r="B38" s="86" t="s">
        <v>1282</v>
      </c>
      <c r="C38" s="86" t="s">
        <v>1277</v>
      </c>
      <c r="D38" s="86" t="s">
        <v>1368</v>
      </c>
      <c r="E38">
        <v>35.299999999999997</v>
      </c>
    </row>
    <row r="39" spans="1:18">
      <c r="A39">
        <v>131</v>
      </c>
      <c r="B39" s="86" t="s">
        <v>1282</v>
      </c>
      <c r="C39" s="86" t="s">
        <v>1284</v>
      </c>
      <c r="D39" s="86" t="s">
        <v>1369</v>
      </c>
      <c r="E39">
        <v>39.799999999999997</v>
      </c>
    </row>
    <row r="40" spans="1:18">
      <c r="A40">
        <v>131</v>
      </c>
      <c r="B40" s="86" t="s">
        <v>1282</v>
      </c>
      <c r="C40" s="86" t="s">
        <v>1285</v>
      </c>
      <c r="D40" s="86" t="s">
        <v>1370</v>
      </c>
      <c r="E40">
        <v>27.7</v>
      </c>
    </row>
    <row r="41" spans="1:18">
      <c r="A41">
        <v>131</v>
      </c>
      <c r="B41" s="86" t="s">
        <v>1287</v>
      </c>
      <c r="C41" s="86" t="s">
        <v>1292</v>
      </c>
      <c r="D41" s="86" t="s">
        <v>1371</v>
      </c>
      <c r="E41">
        <v>25.8</v>
      </c>
    </row>
    <row r="42" spans="1:18">
      <c r="A42" s="280">
        <v>131</v>
      </c>
      <c r="B42" s="281" t="s">
        <v>1282</v>
      </c>
      <c r="C42" s="281" t="s">
        <v>1280</v>
      </c>
      <c r="D42" s="281" t="s">
        <v>1281</v>
      </c>
      <c r="E42" s="280">
        <f>SUM(E4:E41)</f>
        <v>4320.5000000000009</v>
      </c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</row>
    <row r="43" spans="1:18">
      <c r="A43">
        <v>131</v>
      </c>
      <c r="B43" s="86" t="s">
        <v>1283</v>
      </c>
      <c r="C43" s="86" t="s">
        <v>1286</v>
      </c>
      <c r="D43" s="86" t="s">
        <v>1368</v>
      </c>
      <c r="E43">
        <v>35.299999999999997</v>
      </c>
    </row>
    <row r="44" spans="1:18">
      <c r="A44">
        <v>131</v>
      </c>
      <c r="B44" s="86" t="s">
        <v>1283</v>
      </c>
      <c r="C44">
        <v>201</v>
      </c>
      <c r="D44" s="86" t="s">
        <v>1336</v>
      </c>
      <c r="E44">
        <v>52.5</v>
      </c>
    </row>
    <row r="45" spans="1:18">
      <c r="A45">
        <v>131</v>
      </c>
      <c r="B45" s="86" t="s">
        <v>1293</v>
      </c>
      <c r="C45">
        <v>202</v>
      </c>
      <c r="D45" s="86" t="s">
        <v>1372</v>
      </c>
      <c r="E45">
        <v>344.3</v>
      </c>
    </row>
    <row r="46" spans="1:18">
      <c r="A46">
        <v>131</v>
      </c>
      <c r="B46" s="86" t="s">
        <v>1293</v>
      </c>
      <c r="C46">
        <v>203</v>
      </c>
      <c r="D46" s="86" t="s">
        <v>1373</v>
      </c>
      <c r="E46">
        <v>9.6</v>
      </c>
    </row>
    <row r="47" spans="1:18">
      <c r="A47">
        <v>131</v>
      </c>
      <c r="B47" s="86" t="s">
        <v>1293</v>
      </c>
      <c r="C47">
        <v>204</v>
      </c>
      <c r="D47" s="86" t="s">
        <v>1374</v>
      </c>
      <c r="E47">
        <v>12.4</v>
      </c>
    </row>
    <row r="48" spans="1:18">
      <c r="A48">
        <v>131</v>
      </c>
      <c r="B48" s="86" t="s">
        <v>1293</v>
      </c>
      <c r="C48">
        <v>205</v>
      </c>
      <c r="D48" s="86" t="s">
        <v>1375</v>
      </c>
      <c r="E48">
        <v>39.6</v>
      </c>
    </row>
    <row r="49" spans="1:16">
      <c r="A49">
        <v>131</v>
      </c>
      <c r="B49" s="86" t="s">
        <v>1293</v>
      </c>
      <c r="C49">
        <v>206</v>
      </c>
      <c r="D49" s="86" t="s">
        <v>1376</v>
      </c>
      <c r="E49">
        <v>23.1</v>
      </c>
    </row>
    <row r="50" spans="1:16">
      <c r="A50">
        <v>131</v>
      </c>
      <c r="B50" s="86" t="s">
        <v>1293</v>
      </c>
      <c r="C50">
        <v>207</v>
      </c>
      <c r="D50" s="86" t="s">
        <v>1377</v>
      </c>
      <c r="E50">
        <v>10.199999999999999</v>
      </c>
    </row>
    <row r="51" spans="1:16">
      <c r="A51">
        <v>131</v>
      </c>
      <c r="B51" s="86" t="s">
        <v>1293</v>
      </c>
      <c r="C51">
        <v>209</v>
      </c>
      <c r="D51" s="86" t="s">
        <v>1378</v>
      </c>
      <c r="E51">
        <v>51.9</v>
      </c>
    </row>
    <row r="52" spans="1:16">
      <c r="A52">
        <v>131</v>
      </c>
      <c r="B52" s="86" t="s">
        <v>1293</v>
      </c>
      <c r="C52">
        <v>210</v>
      </c>
      <c r="D52" s="86" t="s">
        <v>1379</v>
      </c>
      <c r="E52">
        <v>51.4</v>
      </c>
    </row>
    <row r="53" spans="1:16">
      <c r="A53">
        <v>131</v>
      </c>
      <c r="B53" s="86" t="s">
        <v>1293</v>
      </c>
      <c r="C53">
        <v>214</v>
      </c>
      <c r="D53" s="86" t="s">
        <v>1380</v>
      </c>
      <c r="E53">
        <v>30.6</v>
      </c>
    </row>
    <row r="54" spans="1:16">
      <c r="A54">
        <v>131</v>
      </c>
      <c r="B54" s="86" t="s">
        <v>1293</v>
      </c>
      <c r="C54">
        <v>211</v>
      </c>
      <c r="D54" s="86" t="s">
        <v>1381</v>
      </c>
      <c r="E54">
        <v>8.1</v>
      </c>
    </row>
    <row r="55" spans="1:16">
      <c r="A55">
        <v>131</v>
      </c>
      <c r="B55" s="86" t="s">
        <v>1293</v>
      </c>
      <c r="C55">
        <v>212</v>
      </c>
      <c r="D55" s="86" t="s">
        <v>1382</v>
      </c>
      <c r="E55">
        <v>8.1</v>
      </c>
    </row>
    <row r="56" spans="1:16">
      <c r="A56">
        <v>131</v>
      </c>
      <c r="B56" s="86" t="s">
        <v>1293</v>
      </c>
      <c r="C56">
        <v>213</v>
      </c>
      <c r="D56" s="86" t="s">
        <v>1383</v>
      </c>
      <c r="E56">
        <v>12.6</v>
      </c>
    </row>
    <row r="57" spans="1:16">
      <c r="A57">
        <v>131</v>
      </c>
      <c r="B57" s="86" t="s">
        <v>1293</v>
      </c>
      <c r="C57">
        <v>215</v>
      </c>
      <c r="D57" s="86" t="s">
        <v>1384</v>
      </c>
      <c r="E57">
        <v>45.6</v>
      </c>
    </row>
    <row r="58" spans="1:16">
      <c r="A58">
        <v>131</v>
      </c>
      <c r="B58" s="86" t="s">
        <v>1293</v>
      </c>
      <c r="C58">
        <v>217</v>
      </c>
      <c r="D58" s="86" t="s">
        <v>1385</v>
      </c>
      <c r="E58">
        <v>30.36</v>
      </c>
    </row>
    <row r="59" spans="1:16">
      <c r="A59">
        <v>131</v>
      </c>
      <c r="B59" s="86" t="s">
        <v>1293</v>
      </c>
      <c r="C59">
        <v>223</v>
      </c>
      <c r="D59" s="86" t="s">
        <v>1386</v>
      </c>
      <c r="E59">
        <v>3583.4</v>
      </c>
    </row>
    <row r="60" spans="1:16">
      <c r="A60">
        <v>131</v>
      </c>
      <c r="B60" s="86" t="s">
        <v>1293</v>
      </c>
      <c r="C60" s="86" t="s">
        <v>1289</v>
      </c>
      <c r="D60" s="86" t="s">
        <v>1369</v>
      </c>
      <c r="E60">
        <v>25.3</v>
      </c>
    </row>
    <row r="61" spans="1:16">
      <c r="A61">
        <v>131</v>
      </c>
      <c r="B61" s="86" t="s">
        <v>1293</v>
      </c>
      <c r="C61" s="86" t="s">
        <v>1290</v>
      </c>
      <c r="D61" s="86" t="s">
        <v>1387</v>
      </c>
      <c r="E61">
        <v>37.6</v>
      </c>
    </row>
    <row r="62" spans="1:16">
      <c r="A62">
        <v>131</v>
      </c>
      <c r="B62" s="86" t="s">
        <v>1293</v>
      </c>
      <c r="C62" s="86" t="s">
        <v>1291</v>
      </c>
      <c r="D62" s="86" t="s">
        <v>1371</v>
      </c>
      <c r="E62">
        <v>23.4</v>
      </c>
    </row>
    <row r="63" spans="1:16">
      <c r="A63" s="280">
        <v>131</v>
      </c>
      <c r="B63" s="281" t="s">
        <v>1287</v>
      </c>
      <c r="C63" s="281" t="s">
        <v>1288</v>
      </c>
      <c r="D63" s="281" t="s">
        <v>1281</v>
      </c>
      <c r="E63" s="280">
        <f>SUM(E43:E62)</f>
        <v>4435.3600000000006</v>
      </c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</row>
    <row r="64" spans="1:16">
      <c r="B64" s="86" t="s">
        <v>855</v>
      </c>
      <c r="C64" t="s">
        <v>1389</v>
      </c>
      <c r="D64" s="86" t="s">
        <v>1391</v>
      </c>
    </row>
    <row r="65" spans="2:4">
      <c r="B65" s="86" t="s">
        <v>855</v>
      </c>
      <c r="C65">
        <v>301</v>
      </c>
      <c r="D65" s="86" t="s">
        <v>1392</v>
      </c>
    </row>
    <row r="66" spans="2:4">
      <c r="B66" s="86" t="s">
        <v>1388</v>
      </c>
      <c r="C66">
        <v>302</v>
      </c>
      <c r="D66" s="86" t="s">
        <v>1393</v>
      </c>
    </row>
    <row r="67" spans="2:4">
      <c r="B67" s="86" t="s">
        <v>1388</v>
      </c>
      <c r="C67">
        <v>303</v>
      </c>
      <c r="D67" s="86" t="s">
        <v>1394</v>
      </c>
    </row>
    <row r="68" spans="2:4">
      <c r="B68" s="86" t="s">
        <v>1388</v>
      </c>
      <c r="C68">
        <v>304</v>
      </c>
      <c r="D68" s="86" t="s">
        <v>1396</v>
      </c>
    </row>
    <row r="69" spans="2:4">
      <c r="B69" s="86" t="s">
        <v>1388</v>
      </c>
      <c r="C69">
        <v>305</v>
      </c>
      <c r="D69" s="86" t="s">
        <v>1397</v>
      </c>
    </row>
    <row r="70" spans="2:4">
      <c r="B70" s="86" t="s">
        <v>1388</v>
      </c>
      <c r="C70">
        <v>306</v>
      </c>
      <c r="D70" s="86" t="s">
        <v>1395</v>
      </c>
    </row>
    <row r="71" spans="2:4">
      <c r="B71" s="86" t="s">
        <v>1388</v>
      </c>
      <c r="C71" t="s">
        <v>1390</v>
      </c>
      <c r="D71" s="86" t="s">
        <v>1369</v>
      </c>
    </row>
    <row r="72" spans="2:4">
      <c r="B72" s="86" t="s">
        <v>1388</v>
      </c>
      <c r="D72" s="86" t="s">
        <v>1398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O45"/>
  <sheetViews>
    <sheetView tabSelected="1" topLeftCell="A25" workbookViewId="0">
      <selection activeCell="G38" sqref="G38"/>
    </sheetView>
  </sheetViews>
  <sheetFormatPr defaultRowHeight="14.4"/>
  <cols>
    <col min="4" max="4" width="28.88671875" customWidth="1"/>
    <col min="5" max="5" width="12" customWidth="1"/>
  </cols>
  <sheetData>
    <row r="1" spans="1:15">
      <c r="A1" s="74"/>
      <c r="B1" s="74"/>
      <c r="C1" s="74"/>
      <c r="D1" s="159"/>
      <c r="E1" s="74"/>
      <c r="F1" s="74"/>
      <c r="G1" s="74"/>
      <c r="H1" s="74" t="str">
        <f>'211'!H1</f>
        <v>RDSZ Building Room Information</v>
      </c>
      <c r="I1" s="74"/>
      <c r="J1" s="74"/>
      <c r="K1" s="74"/>
      <c r="L1" s="74"/>
      <c r="M1" s="74"/>
      <c r="N1" s="74"/>
      <c r="O1" s="74"/>
    </row>
    <row r="2" spans="1:15">
      <c r="A2" s="74" t="str">
        <f>'211'!A2</f>
        <v>BUILDIN NO.</v>
      </c>
      <c r="B2" s="74" t="str">
        <f>'211'!B2</f>
        <v>BUILDING FLOOR</v>
      </c>
      <c r="C2" s="74" t="str">
        <f>'211'!C2</f>
        <v>Room-number</v>
      </c>
      <c r="D2" s="159" t="str">
        <f>'211'!D2</f>
        <v>ROOM NAME</v>
      </c>
      <c r="E2" s="74" t="str">
        <f>'211'!E2</f>
        <v>NET AREA</v>
      </c>
      <c r="F2" s="74" t="str">
        <f>'211'!F2</f>
        <v>FLOOR</v>
      </c>
      <c r="G2" s="74" t="str">
        <f>'211'!G2</f>
        <v>WALL</v>
      </c>
      <c r="H2" s="74" t="str">
        <f>'211'!H2</f>
        <v>CEILING</v>
      </c>
      <c r="I2" s="74" t="str">
        <f>'211'!I2</f>
        <v>CEILING HEIGHT</v>
      </c>
      <c r="J2" s="74" t="str">
        <f>'211'!J2</f>
        <v>SKIRTING FINISH</v>
      </c>
      <c r="K2" s="74" t="str">
        <f>'211'!K2</f>
        <v>Door</v>
      </c>
      <c r="L2" s="74" t="str">
        <f>'211'!L2</f>
        <v>Window</v>
      </c>
      <c r="M2" s="74" t="str">
        <f>'211'!M2</f>
        <v>HVAC</v>
      </c>
      <c r="N2" s="74" t="str">
        <f>'211'!N2</f>
        <v>FIRE FIGHTING</v>
      </c>
      <c r="O2" s="74" t="str">
        <f>'211'!O2</f>
        <v>NOTE NO.</v>
      </c>
    </row>
    <row r="3" spans="1:15">
      <c r="A3" s="74" t="str">
        <f>'211'!A3</f>
        <v>楼号</v>
      </c>
      <c r="B3" s="74" t="str">
        <f>'211'!B3</f>
        <v>楼层</v>
      </c>
      <c r="C3" s="74" t="str">
        <f>'211'!C3</f>
        <v>房间号</v>
      </c>
      <c r="D3" s="159" t="str">
        <f>'211'!D3</f>
        <v>房间名称</v>
      </c>
      <c r="E3" s="74" t="str">
        <f>'211'!E3</f>
        <v>净面积(M2)</v>
      </c>
      <c r="F3" s="74" t="str">
        <f>'211'!F3</f>
        <v>地面做法</v>
      </c>
      <c r="G3" s="74" t="str">
        <f>'211'!G3</f>
        <v xml:space="preserve">墙面做法 </v>
      </c>
      <c r="H3" s="74" t="str">
        <f>'211'!H3</f>
        <v>吊顶做法</v>
      </c>
      <c r="I3" s="74" t="str">
        <f>'211'!I3</f>
        <v>吊顶高度</v>
      </c>
      <c r="J3" s="74" t="str">
        <f>'211'!J3</f>
        <v>踢脚作法</v>
      </c>
      <c r="K3" s="74" t="str">
        <f>'211'!K3</f>
        <v>门</v>
      </c>
      <c r="L3" s="74" t="str">
        <f>'211'!L3</f>
        <v>窗</v>
      </c>
      <c r="M3" s="74" t="str">
        <f>'211'!M3</f>
        <v>暖通</v>
      </c>
      <c r="N3" s="74" t="str">
        <f>'211'!N3</f>
        <v>消防</v>
      </c>
      <c r="O3" s="74" t="str">
        <f>'211'!O3</f>
        <v>备注索引</v>
      </c>
    </row>
    <row r="4" spans="1:15" ht="43.2">
      <c r="A4" s="86" t="s">
        <v>1403</v>
      </c>
      <c r="B4">
        <v>1</v>
      </c>
      <c r="C4" s="86">
        <v>102</v>
      </c>
      <c r="D4" s="326" t="s">
        <v>1404</v>
      </c>
      <c r="E4">
        <v>613</v>
      </c>
    </row>
    <row r="5" spans="1:15" ht="28.8">
      <c r="A5" s="86" t="s">
        <v>1403</v>
      </c>
      <c r="B5">
        <v>1</v>
      </c>
      <c r="C5">
        <v>103</v>
      </c>
      <c r="D5" s="326" t="s">
        <v>1405</v>
      </c>
      <c r="E5">
        <v>555.70000000000005</v>
      </c>
    </row>
    <row r="6" spans="1:15" ht="28.8">
      <c r="A6" s="86" t="s">
        <v>1403</v>
      </c>
      <c r="B6">
        <v>1</v>
      </c>
      <c r="C6">
        <v>101</v>
      </c>
      <c r="D6" s="326" t="s">
        <v>1406</v>
      </c>
    </row>
    <row r="7" spans="1:15">
      <c r="A7" s="86" t="s">
        <v>1403</v>
      </c>
      <c r="B7">
        <v>1</v>
      </c>
      <c r="C7">
        <v>105</v>
      </c>
      <c r="D7" s="86" t="s">
        <v>1407</v>
      </c>
    </row>
    <row r="8" spans="1:15">
      <c r="A8" s="86" t="s">
        <v>1403</v>
      </c>
      <c r="B8">
        <v>1</v>
      </c>
      <c r="C8">
        <v>106</v>
      </c>
      <c r="D8" s="86" t="s">
        <v>1408</v>
      </c>
    </row>
    <row r="9" spans="1:15">
      <c r="A9" s="86" t="s">
        <v>1403</v>
      </c>
      <c r="B9">
        <v>1</v>
      </c>
      <c r="C9">
        <v>107</v>
      </c>
      <c r="D9" s="86" t="s">
        <v>1409</v>
      </c>
    </row>
    <row r="10" spans="1:15" ht="28.8">
      <c r="A10" s="86" t="s">
        <v>1403</v>
      </c>
      <c r="B10">
        <v>1</v>
      </c>
      <c r="C10">
        <v>108</v>
      </c>
      <c r="D10" s="326" t="s">
        <v>1410</v>
      </c>
    </row>
    <row r="11" spans="1:15">
      <c r="A11" s="86" t="s">
        <v>1403</v>
      </c>
      <c r="B11">
        <v>1</v>
      </c>
      <c r="C11">
        <v>109</v>
      </c>
      <c r="D11" s="86" t="s">
        <v>1411</v>
      </c>
    </row>
    <row r="12" spans="1:15">
      <c r="A12" s="86" t="s">
        <v>1403</v>
      </c>
      <c r="B12">
        <v>1</v>
      </c>
      <c r="C12">
        <v>111</v>
      </c>
      <c r="D12" s="86" t="s">
        <v>1412</v>
      </c>
    </row>
    <row r="13" spans="1:15">
      <c r="A13" s="86" t="s">
        <v>1403</v>
      </c>
      <c r="B13">
        <v>1</v>
      </c>
      <c r="C13">
        <v>112</v>
      </c>
      <c r="D13" s="86" t="s">
        <v>1413</v>
      </c>
    </row>
    <row r="14" spans="1:15">
      <c r="A14" s="86" t="s">
        <v>1403</v>
      </c>
      <c r="B14">
        <v>1</v>
      </c>
      <c r="C14">
        <v>113</v>
      </c>
      <c r="D14" s="86" t="s">
        <v>1414</v>
      </c>
    </row>
    <row r="15" spans="1:15">
      <c r="A15" s="86" t="s">
        <v>1403</v>
      </c>
      <c r="B15">
        <v>2</v>
      </c>
      <c r="C15" s="86" t="s">
        <v>1415</v>
      </c>
      <c r="D15" s="86" t="s">
        <v>1416</v>
      </c>
      <c r="E15">
        <v>24.64</v>
      </c>
    </row>
    <row r="16" spans="1:15">
      <c r="C16" s="86" t="s">
        <v>1417</v>
      </c>
      <c r="D16" s="86" t="s">
        <v>1418</v>
      </c>
      <c r="E16">
        <v>16.32</v>
      </c>
    </row>
    <row r="17" spans="3:5">
      <c r="C17" s="86" t="s">
        <v>1419</v>
      </c>
      <c r="D17" s="86" t="s">
        <v>1441</v>
      </c>
      <c r="E17">
        <v>132.66</v>
      </c>
    </row>
    <row r="18" spans="3:5">
      <c r="C18" s="86" t="s">
        <v>1420</v>
      </c>
      <c r="D18" s="86" t="s">
        <v>1444</v>
      </c>
      <c r="E18">
        <v>13.76</v>
      </c>
    </row>
    <row r="19" spans="3:5">
      <c r="C19" s="86" t="s">
        <v>1421</v>
      </c>
      <c r="D19" s="86" t="s">
        <v>1442</v>
      </c>
      <c r="E19">
        <v>6.8</v>
      </c>
    </row>
    <row r="20" spans="3:5">
      <c r="C20" s="86" t="s">
        <v>1422</v>
      </c>
      <c r="D20" s="86" t="s">
        <v>1443</v>
      </c>
      <c r="E20">
        <v>32.450000000000003</v>
      </c>
    </row>
    <row r="21" spans="3:5">
      <c r="C21" s="86" t="s">
        <v>1423</v>
      </c>
      <c r="D21" s="86" t="s">
        <v>1445</v>
      </c>
      <c r="E21">
        <v>22.5</v>
      </c>
    </row>
    <row r="22" spans="3:5">
      <c r="C22" s="86" t="s">
        <v>1424</v>
      </c>
      <c r="D22" s="86" t="s">
        <v>1446</v>
      </c>
      <c r="E22">
        <v>18.37</v>
      </c>
    </row>
    <row r="23" spans="3:5">
      <c r="C23" s="86" t="s">
        <v>1425</v>
      </c>
      <c r="D23" s="86" t="s">
        <v>1447</v>
      </c>
      <c r="E23">
        <v>3.37</v>
      </c>
    </row>
    <row r="24" spans="3:5">
      <c r="C24" s="86" t="s">
        <v>1426</v>
      </c>
      <c r="D24" s="86" t="s">
        <v>979</v>
      </c>
      <c r="E24">
        <v>27.1</v>
      </c>
    </row>
    <row r="25" spans="3:5">
      <c r="C25" s="86" t="s">
        <v>1427</v>
      </c>
      <c r="D25" s="86" t="s">
        <v>1453</v>
      </c>
      <c r="E25">
        <v>5.5</v>
      </c>
    </row>
    <row r="26" spans="3:5">
      <c r="C26" s="86" t="s">
        <v>1428</v>
      </c>
      <c r="D26" s="86" t="s">
        <v>1454</v>
      </c>
      <c r="E26">
        <v>15.6</v>
      </c>
    </row>
    <row r="27" spans="3:5">
      <c r="C27" s="86" t="s">
        <v>1429</v>
      </c>
      <c r="D27" s="86" t="s">
        <v>1455</v>
      </c>
      <c r="E27">
        <v>7.53</v>
      </c>
    </row>
    <row r="28" spans="3:5" ht="28.8">
      <c r="C28" s="86" t="s">
        <v>1430</v>
      </c>
      <c r="D28" s="326" t="s">
        <v>1456</v>
      </c>
      <c r="E28">
        <v>88.1</v>
      </c>
    </row>
    <row r="29" spans="3:5">
      <c r="C29" s="86" t="s">
        <v>1431</v>
      </c>
      <c r="D29" s="86" t="s">
        <v>1457</v>
      </c>
      <c r="E29">
        <v>16.559999999999999</v>
      </c>
    </row>
    <row r="30" spans="3:5">
      <c r="C30" s="86" t="s">
        <v>1432</v>
      </c>
      <c r="D30" s="86" t="s">
        <v>1458</v>
      </c>
      <c r="E30">
        <v>890.83</v>
      </c>
    </row>
    <row r="31" spans="3:5">
      <c r="C31" s="86" t="s">
        <v>1433</v>
      </c>
      <c r="D31" s="86" t="s">
        <v>1459</v>
      </c>
      <c r="E31">
        <v>159.11000000000001</v>
      </c>
    </row>
    <row r="32" spans="3:5">
      <c r="C32" s="86" t="s">
        <v>1434</v>
      </c>
      <c r="D32" s="86" t="s">
        <v>1452</v>
      </c>
      <c r="E32">
        <v>3.31</v>
      </c>
    </row>
    <row r="33" spans="3:5">
      <c r="C33" s="86" t="s">
        <v>1435</v>
      </c>
      <c r="D33" s="86" t="s">
        <v>1460</v>
      </c>
      <c r="E33">
        <v>13.06</v>
      </c>
    </row>
    <row r="34" spans="3:5">
      <c r="C34" s="86" t="s">
        <v>1436</v>
      </c>
      <c r="D34" s="86" t="s">
        <v>1461</v>
      </c>
      <c r="E34">
        <v>20.34</v>
      </c>
    </row>
    <row r="35" spans="3:5">
      <c r="C35" s="86" t="s">
        <v>1437</v>
      </c>
      <c r="D35" s="86" t="s">
        <v>1462</v>
      </c>
      <c r="E35">
        <v>37.89</v>
      </c>
    </row>
    <row r="36" spans="3:5">
      <c r="C36" s="86" t="s">
        <v>1438</v>
      </c>
      <c r="D36" s="86" t="s">
        <v>1469</v>
      </c>
      <c r="E36">
        <v>21.42</v>
      </c>
    </row>
    <row r="37" spans="3:5">
      <c r="C37" s="86" t="s">
        <v>1439</v>
      </c>
      <c r="D37" s="86" t="s">
        <v>1470</v>
      </c>
      <c r="E37">
        <v>8.49</v>
      </c>
    </row>
    <row r="38" spans="3:5">
      <c r="C38" s="86" t="s">
        <v>1440</v>
      </c>
      <c r="D38" s="86" t="s">
        <v>1468</v>
      </c>
      <c r="E38">
        <v>13.35</v>
      </c>
    </row>
    <row r="39" spans="3:5">
      <c r="C39" s="86" t="s">
        <v>1448</v>
      </c>
      <c r="D39" s="86" t="s">
        <v>1463</v>
      </c>
      <c r="E39">
        <v>3.52</v>
      </c>
    </row>
    <row r="40" spans="3:5">
      <c r="C40" s="86" t="s">
        <v>1449</v>
      </c>
      <c r="D40" s="86" t="s">
        <v>1471</v>
      </c>
      <c r="E40">
        <v>8.49</v>
      </c>
    </row>
    <row r="41" spans="3:5">
      <c r="C41" s="86" t="s">
        <v>1450</v>
      </c>
      <c r="D41" s="86" t="s">
        <v>1472</v>
      </c>
      <c r="E41">
        <v>8.49</v>
      </c>
    </row>
    <row r="42" spans="3:5">
      <c r="C42" s="86" t="s">
        <v>1451</v>
      </c>
      <c r="D42" s="86" t="s">
        <v>1452</v>
      </c>
      <c r="E42">
        <v>3.75</v>
      </c>
    </row>
    <row r="43" spans="3:5">
      <c r="C43" s="86" t="s">
        <v>1464</v>
      </c>
      <c r="D43" s="86" t="s">
        <v>1461</v>
      </c>
      <c r="E43">
        <v>6.14</v>
      </c>
    </row>
    <row r="44" spans="3:5">
      <c r="C44" s="86" t="s">
        <v>1465</v>
      </c>
      <c r="D44" s="86" t="s">
        <v>1473</v>
      </c>
      <c r="E44">
        <v>9.1199999999999992</v>
      </c>
    </row>
    <row r="45" spans="3:5">
      <c r="C45" s="86" t="s">
        <v>1466</v>
      </c>
      <c r="D45" s="86" t="s">
        <v>1467</v>
      </c>
      <c r="E45">
        <v>15.03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selection activeCell="A18" sqref="A18"/>
    </sheetView>
  </sheetViews>
  <sheetFormatPr defaultRowHeight="14.4"/>
  <cols>
    <col min="1" max="1" width="43" style="227" customWidth="1"/>
  </cols>
  <sheetData>
    <row r="1" spans="1:11" ht="25.8">
      <c r="K1" s="169" t="s">
        <v>941</v>
      </c>
    </row>
    <row r="2" spans="1:11">
      <c r="A2" s="256" t="s">
        <v>1127</v>
      </c>
    </row>
    <row r="3" spans="1:11">
      <c r="A3" s="256" t="s">
        <v>60</v>
      </c>
    </row>
    <row r="4" spans="1:11">
      <c r="A4" s="256" t="s">
        <v>61</v>
      </c>
    </row>
    <row r="5" spans="1:11">
      <c r="A5" s="256" t="s">
        <v>1129</v>
      </c>
    </row>
    <row r="6" spans="1:11">
      <c r="A6" s="256"/>
    </row>
    <row r="7" spans="1:11">
      <c r="A7" s="256" t="s">
        <v>58</v>
      </c>
    </row>
    <row r="8" spans="1:11">
      <c r="A8" s="257" t="s">
        <v>53</v>
      </c>
    </row>
    <row r="9" spans="1:11">
      <c r="A9" s="256" t="s">
        <v>51</v>
      </c>
    </row>
    <row r="10" spans="1:11">
      <c r="A10" s="256" t="s">
        <v>57</v>
      </c>
    </row>
    <row r="11" spans="1:11">
      <c r="A11" s="256" t="s">
        <v>50</v>
      </c>
    </row>
    <row r="12" spans="1:11">
      <c r="A12" s="257"/>
    </row>
    <row r="13" spans="1:11">
      <c r="A13" s="256"/>
    </row>
    <row r="14" spans="1:11">
      <c r="A14" s="256" t="s">
        <v>63</v>
      </c>
    </row>
    <row r="15" spans="1:11">
      <c r="A15" s="256" t="s">
        <v>65</v>
      </c>
    </row>
    <row r="16" spans="1:11">
      <c r="A16" s="256" t="s">
        <v>64</v>
      </c>
    </row>
    <row r="17" spans="1:1">
      <c r="A17" s="256" t="s">
        <v>62</v>
      </c>
    </row>
    <row r="18" spans="1:1">
      <c r="A18" s="256" t="s">
        <v>66</v>
      </c>
    </row>
    <row r="19" spans="1:1">
      <c r="A19" s="256"/>
    </row>
    <row r="20" spans="1:1">
      <c r="A20" s="256" t="s">
        <v>67</v>
      </c>
    </row>
    <row r="21" spans="1:1">
      <c r="A21" s="256" t="s">
        <v>70</v>
      </c>
    </row>
    <row r="22" spans="1:1">
      <c r="A22" s="256" t="s">
        <v>68</v>
      </c>
    </row>
    <row r="23" spans="1:1">
      <c r="A23" s="256" t="s">
        <v>69</v>
      </c>
    </row>
    <row r="24" spans="1:1">
      <c r="A24" s="256"/>
    </row>
    <row r="25" spans="1:1">
      <c r="A25" s="256"/>
    </row>
    <row r="26" spans="1:1">
      <c r="A26" s="256"/>
    </row>
    <row r="27" spans="1:1">
      <c r="A27" s="256"/>
    </row>
    <row r="28" spans="1:1">
      <c r="A28" s="256"/>
    </row>
    <row r="29" spans="1:1">
      <c r="A29" s="256"/>
    </row>
    <row r="30" spans="1:1">
      <c r="A30" s="256"/>
    </row>
    <row r="31" spans="1:1">
      <c r="A31" s="256"/>
    </row>
    <row r="32" spans="1:1">
      <c r="A32" s="256"/>
    </row>
    <row r="33" spans="1:1">
      <c r="A33" s="256"/>
    </row>
    <row r="34" spans="1:1">
      <c r="A34" s="256"/>
    </row>
    <row r="35" spans="1:1">
      <c r="A35" s="256"/>
    </row>
    <row r="36" spans="1:1">
      <c r="A36" s="256"/>
    </row>
    <row r="37" spans="1:1">
      <c r="A37" s="256"/>
    </row>
    <row r="38" spans="1:1">
      <c r="A38" s="256"/>
    </row>
    <row r="39" spans="1:1">
      <c r="A39" s="256"/>
    </row>
    <row r="40" spans="1:1">
      <c r="A40" s="256"/>
    </row>
    <row r="41" spans="1:1">
      <c r="A41" s="256"/>
    </row>
    <row r="42" spans="1:1">
      <c r="A42" s="256"/>
    </row>
    <row r="43" spans="1:1">
      <c r="A43" s="256"/>
    </row>
    <row r="44" spans="1:1">
      <c r="A44" s="256"/>
    </row>
    <row r="45" spans="1:1">
      <c r="A45" s="256"/>
    </row>
    <row r="46" spans="1:1">
      <c r="A46" s="256"/>
    </row>
    <row r="47" spans="1:1">
      <c r="A47" s="256"/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2</vt:i4>
      </vt:variant>
    </vt:vector>
  </HeadingPairs>
  <TitlesOfParts>
    <vt:vector size="14" baseType="lpstr">
      <vt:lpstr>211</vt:lpstr>
      <vt:lpstr>113</vt:lpstr>
      <vt:lpstr>121</vt:lpstr>
      <vt:lpstr>231</vt:lpstr>
      <vt:lpstr>232</vt:lpstr>
      <vt:lpstr>134</vt:lpstr>
      <vt:lpstr>132</vt:lpstr>
      <vt:lpstr>111</vt:lpstr>
      <vt:lpstr>234</vt:lpstr>
      <vt:lpstr>131</vt:lpstr>
      <vt:lpstr>panda</vt:lpstr>
      <vt:lpstr>Notes</vt:lpstr>
      <vt:lpstr>'121'!Print_Area</vt:lpstr>
      <vt:lpstr>'211'!Print_Area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Dong {DOYE~Suzhou}</dc:creator>
  <cp:lastModifiedBy>zhuang, weicheng {DOYE~SUZHOU}</cp:lastModifiedBy>
  <cp:lastPrinted>2020-04-07T02:41:34Z</cp:lastPrinted>
  <dcterms:created xsi:type="dcterms:W3CDTF">2019-04-01T07:44:37Z</dcterms:created>
  <dcterms:modified xsi:type="dcterms:W3CDTF">2025-01-02T00:44:57Z</dcterms:modified>
</cp:coreProperties>
</file>